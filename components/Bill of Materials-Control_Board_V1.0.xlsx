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450"/>
  </bookViews>
  <sheets>
    <sheet name="Bill of Materials-MS_Elentec_V2" sheetId="1" r:id="rId1"/>
  </sheets>
  <definedNames>
    <definedName name="_xlnm.Print_Titles" localSheetId="0">'Bill of Materials-MS_Elentec_V2'!$1:$1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<sst xmlns="http://schemas.openxmlformats.org/spreadsheetml/2006/main" count="281" uniqueCount="240">
  <si>
    <t>Comment</t>
  </si>
  <si>
    <t>Manufacturer Part Number</t>
  </si>
  <si>
    <t>Designator</t>
  </si>
  <si>
    <t>LibRef</t>
  </si>
  <si>
    <t>Quantity</t>
  </si>
  <si>
    <t>Price/1PCS</t>
  </si>
  <si>
    <t>Price/1Board</t>
  </si>
  <si>
    <t>Component Link/URL</t>
  </si>
  <si>
    <t>0R</t>
  </si>
  <si>
    <t>AC1206FR-070RL</t>
  </si>
  <si>
    <t>R54</t>
  </si>
  <si>
    <t>R_1206_3216Metric</t>
  </si>
  <si>
    <t>https://linhkien.cxtvn.com/3667-dien-tro-0r-1206-1-100c.html</t>
  </si>
  <si>
    <t>33pF-50V</t>
  </si>
  <si>
    <t>C0805C330J5GACTU</t>
  </si>
  <si>
    <t>C13</t>
  </si>
  <si>
    <t>C_0805_2012Metric</t>
  </si>
  <si>
    <t>https://linhkien.cxtvn.com/1976-tu-khong-phan-cuc-0805.html</t>
  </si>
  <si>
    <t>22nF-50V</t>
  </si>
  <si>
    <t>CC0603KRX7R9BB223</t>
  </si>
  <si>
    <t>C6</t>
  </si>
  <si>
    <t>C_0603_1608Metric</t>
  </si>
  <si>
    <t>https://linhkien.cxtvn.com/2513-tu-0603-khong-phan-cuc.html</t>
  </si>
  <si>
    <t>100nF-50V</t>
  </si>
  <si>
    <t>CC0805KRX7R9BB104</t>
  </si>
  <si>
    <t>C12,C15,C18,C24,C30,C43</t>
  </si>
  <si>
    <t>6.8uH</t>
  </si>
  <si>
    <t>FXL0630-6R8-M</t>
  </si>
  <si>
    <t>L2</t>
  </si>
  <si>
    <t>L_Changjiang_FXL0630</t>
  </si>
  <si>
    <t>https://linhkien.cxtvn.com/9904-cuon-cam-0630-cac-gia-tri.html</t>
  </si>
  <si>
    <t>10uF-50V</t>
  </si>
  <si>
    <t>CL21A106KAYNNNE</t>
  </si>
  <si>
    <t>C21</t>
  </si>
  <si>
    <t>10uF-25V</t>
  </si>
  <si>
    <t>T491A106K010AT</t>
  </si>
  <si>
    <t>C25</t>
  </si>
  <si>
    <t>CP_EIA-3528-12_Kemet-T</t>
  </si>
  <si>
    <t>https://linhkien.cxtvn.com/4430-tu-tantalum-3528-cac-gia-tri.html</t>
  </si>
  <si>
    <t>22uF-50V</t>
  </si>
  <si>
    <t>C2012X5R1A226KT000N</t>
  </si>
  <si>
    <t>C16,C17</t>
  </si>
  <si>
    <t>100uF-50V</t>
  </si>
  <si>
    <t>EEE-FK1H101P</t>
  </si>
  <si>
    <t>C1</t>
  </si>
  <si>
    <t>CP_Elec_8x10.5</t>
  </si>
  <si>
    <t>https://linhkien.cxtvn.com/3033-tu-nhom-100uf-50v-8x105-5c.html</t>
  </si>
  <si>
    <t>1kR</t>
  </si>
  <si>
    <t>0603WAF1001T5E</t>
  </si>
  <si>
    <t>R47,R74,R77,R80</t>
  </si>
  <si>
    <t>R_0603_1608Metric</t>
  </si>
  <si>
    <t>https://linhkien.cxtvn.com/1424-dien-tro-1k-0603-1-100c.html</t>
  </si>
  <si>
    <t>3.3kR</t>
  </si>
  <si>
    <t>0603WAF3301T5E</t>
  </si>
  <si>
    <t>R75,R78,R81,R90,R92,R93,R95</t>
  </si>
  <si>
    <t>https://linhkien.cxtvn.com/2289-dien-tro-33k-0603-1-100c.html</t>
  </si>
  <si>
    <t>4.7kR</t>
  </si>
  <si>
    <t>0603WAF4701T5E</t>
  </si>
  <si>
    <t>R37</t>
  </si>
  <si>
    <t>https://linhkien.cxtvn.com/2398-dien-tro-47k-0603-1-100c.html</t>
  </si>
  <si>
    <t>5.1kR</t>
  </si>
  <si>
    <t>0603WAF5101T5E</t>
  </si>
  <si>
    <t>R21,R22</t>
  </si>
  <si>
    <t>https://linhkien.cxtvn.com/2291-dien-tro-51k-0603-1-100c.html</t>
  </si>
  <si>
    <t>10kR</t>
  </si>
  <si>
    <t>FRC0603F1002TS</t>
  </si>
  <si>
    <t>R5,R8,R9,R28,R33,R34,R42,R55,R61,R82,R91,R94</t>
  </si>
  <si>
    <t>https://linhkien.cxtvn.com/1422-dien-tro-10k-0603-1-100c.html</t>
  </si>
  <si>
    <t>0805W8F1002T5E</t>
  </si>
  <si>
    <t>R76,R79</t>
  </si>
  <si>
    <t>R_0805_2012Metric</t>
  </si>
  <si>
    <t>12kR</t>
  </si>
  <si>
    <t>0603WAF1202T5E</t>
  </si>
  <si>
    <t>R48</t>
  </si>
  <si>
    <t>https://linhkien.cxtvn.com/4536-dien-tro-12k-0603-1-100c.html</t>
  </si>
  <si>
    <t>15kR</t>
  </si>
  <si>
    <t>0603WAF1502T5E</t>
  </si>
  <si>
    <t>R62</t>
  </si>
  <si>
    <t>https://linhkien.cxtvn.com/4434-dien-tro-15k-0603-1-100c.html</t>
  </si>
  <si>
    <t>18kR</t>
  </si>
  <si>
    <t>0603WAF1802T5E</t>
  </si>
  <si>
    <t>R46</t>
  </si>
  <si>
    <t>https://linhkien.cxtvn.com/7646-dien-tro-18k-0603-1-100c.html</t>
  </si>
  <si>
    <t>47R</t>
  </si>
  <si>
    <t>AC0603FR-0747RL</t>
  </si>
  <si>
    <t>R56</t>
  </si>
  <si>
    <t>https://linhkien.cxtvn.com/3447-dien-tro-120r-0603-1-100c.html</t>
  </si>
  <si>
    <t>49.9R</t>
  </si>
  <si>
    <t>RC0603FR-0749R9L</t>
  </si>
  <si>
    <t>R10</t>
  </si>
  <si>
    <t>https://linhkien.cxtvn.com/2395-dien-tro-499r-0603-1-100c.html</t>
  </si>
  <si>
    <t>68kR</t>
  </si>
  <si>
    <t>0603WAF6802T5E</t>
  </si>
  <si>
    <t>R11</t>
  </si>
  <si>
    <t>https://linhkien.cxtvn.com/2304-dien-tro-68k-0603-1-100c.html</t>
  </si>
  <si>
    <t>120R</t>
  </si>
  <si>
    <t>AC0603FR-07120RL</t>
  </si>
  <si>
    <t>R4,R57,R58</t>
  </si>
  <si>
    <t>150kR</t>
  </si>
  <si>
    <t>0603WAF1503T5E</t>
  </si>
  <si>
    <t>R43,R44,R45</t>
  </si>
  <si>
    <t>https://linhkien.cxtvn.com/9710-dien-tro-150k-0603-1-100c.html</t>
  </si>
  <si>
    <t>CC0603KRX7R9BB104</t>
  </si>
  <si>
    <t>C4,C7,C19,C23,C29,C38,C40,C41</t>
  </si>
  <si>
    <t>https://linhkien.cxtvn.com/1981-tu-0603-khong-phan-cuc.html</t>
  </si>
  <si>
    <t>10nF-50V</t>
  </si>
  <si>
    <t>GRM188R71H103KA01D</t>
  </si>
  <si>
    <t>C31</t>
  </si>
  <si>
    <t>https://linhkien.cxtvn.com/6736-0603b104k500nt-tu-100nf-50v-10-0603-20c.html</t>
  </si>
  <si>
    <t>GRM21BR61H106KE43L</t>
  </si>
  <si>
    <t>C27,C28,C39</t>
  </si>
  <si>
    <t>https://linhkien.cxtvn.com/2886-tu-106-10uf-0603-50v-10-20c.html</t>
  </si>
  <si>
    <t>1uF-50V</t>
  </si>
  <si>
    <t>CL10A105KB8NNNC</t>
  </si>
  <si>
    <t>C20,C26,C42</t>
  </si>
  <si>
    <t>https://linhkien.cxtvn.com/1982-tu-105-1uf-0603-50v-10-20c.html</t>
  </si>
  <si>
    <t>2SD882</t>
  </si>
  <si>
    <t>2SD882T-P</t>
  </si>
  <si>
    <t>Q2,Q5,Q6</t>
  </si>
  <si>
    <t>SOT-89-3</t>
  </si>
  <si>
    <t>https://linhkien.cxtvn.com/3565-d882-2sd882-npn-transistor-15a-40v-sot-89-10c.html</t>
  </si>
  <si>
    <t>GRM1885C1H330JA01D</t>
  </si>
  <si>
    <t>C44,C45,C46</t>
  </si>
  <si>
    <t>https://linhkien.cxtvn.com/3426-tu-330-33pf-0603-50v-20c.html</t>
  </si>
  <si>
    <t>BC817</t>
  </si>
  <si>
    <t>BC817-40,215</t>
  </si>
  <si>
    <t>Q3,Q4</t>
  </si>
  <si>
    <t>SOT-23</t>
  </si>
  <si>
    <t>https://linhkien.cxtvn.com/5979-bc817-40-transistor-npn-45v-05a-sot23-10c.html</t>
  </si>
  <si>
    <t>CH340C</t>
  </si>
  <si>
    <t>U15</t>
  </si>
  <si>
    <t>SOIC-16_3.9x9.9mm_P1.27mm</t>
  </si>
  <si>
    <t>https://linhkien.cxtvn.com/4690-ch340c-ic-transceiver-2mbps-usb20-sop-16.html</t>
  </si>
  <si>
    <t>Conn_01x02</t>
  </si>
  <si>
    <t>J9</t>
  </si>
  <si>
    <t>PhoenixContact_MC_1,5_2-G-3.81_1x02_P3.81mm_Horizontal</t>
  </si>
  <si>
    <t>https://linhkien.cxtvn.com/3486-cau-dau-15edg381-381mm-xanh-cong-mau-nhat.html</t>
  </si>
  <si>
    <t>Conn_01x03</t>
  </si>
  <si>
    <t>J7,J8,J10</t>
  </si>
  <si>
    <t>PhoenixContact_MC_1,5_3-G-3.81_1x03_P3.81mm_Horizontal</t>
  </si>
  <si>
    <t>Conn_01x06</t>
  </si>
  <si>
    <t>S6B-XH-A(LF)(SN)</t>
  </si>
  <si>
    <t>J5</t>
  </si>
  <si>
    <t>JST_XH_S6B-XH-A_1x06_P2.50mm_Horizontal</t>
  </si>
  <si>
    <t>https://linhkien.cxtvn.com/3878-header-duc-xh254-6p-chan-cong-10c.html</t>
  </si>
  <si>
    <t>Button</t>
  </si>
  <si>
    <t>B3U-1000P</t>
  </si>
  <si>
    <t>SW1</t>
  </si>
  <si>
    <t>SW_SPST_B3U-1000P</t>
  </si>
  <si>
    <t>https://linhkien.cxtvn.com/10278-b3u-1000p-nut-nhan-smd-2p-3x25x16mm.html</t>
  </si>
  <si>
    <t>ESD2CANFD24DBZR</t>
  </si>
  <si>
    <t>D12</t>
  </si>
  <si>
    <t>https://www.lcsc.com/product-detail/C20345391.html?s_z=n_q_ESD2CANFD24&amp;spm=wm.fly.bg.1.xh&amp;lcsc_vid=RlJfAwBQQlhYVVFTFlNbXlcHFgJZBQdRTgRYAlJVQ1kxVlNeQVhdUF1VTlJfVzsOAxUeFF5JWBYZEEoKFBINSQcJGk4eFQsCAgIaSgADAwAHC0slQlRcU1xQWQkaCgg%3D</t>
  </si>
  <si>
    <t>ESP32-WROOM-32E</t>
  </si>
  <si>
    <t>ESP32-WROOM-32E-N16</t>
  </si>
  <si>
    <t>U4</t>
  </si>
  <si>
    <t>ESP32-WROOM-32UE</t>
  </si>
  <si>
    <t>https://linhkien.cxtvn.com/9356-esp32-wroom-32ue-n16-rf-txrx-module-wifi-ufl-smd.html</t>
  </si>
  <si>
    <t>INA240A2PW</t>
  </si>
  <si>
    <t>INA240A2PWR</t>
  </si>
  <si>
    <t>U2</t>
  </si>
  <si>
    <t>TSSOP-8_4.4x3mm_P0.65mm</t>
  </si>
  <si>
    <t>https://www.lcsc.com/product-detail/C1346461.html?s_z=n_q_INA240A2&amp;spm=wm.fly.bg.1.xh&amp;lcsc_vid=QVdWXlNWEgRZUwZWQwdYBgJeR1BaVAAFQwVfUFNXTlAxVlNeQFheU1NSQVleUzsOAxUeFF5JWBYZEEoKFBINSQcJGk4eFQsCAgIaSgADAwAHC0slTlJXUVFIHxUDCw%3D%3D</t>
  </si>
  <si>
    <t>LED_GREEN</t>
  </si>
  <si>
    <t>XL-1608UGC-04</t>
  </si>
  <si>
    <t>D14</t>
  </si>
  <si>
    <t>LED_0603_1608Metric</t>
  </si>
  <si>
    <t>https://linhkien.cxtvn.com/4216-led-0603-cac-mau.html</t>
  </si>
  <si>
    <t>LTV-356T</t>
  </si>
  <si>
    <t>LTV-356T-C</t>
  </si>
  <si>
    <t>U6,U10,U11,U12,U14</t>
  </si>
  <si>
    <t>SO-4_4.4x3.6mm_P2.54mm</t>
  </si>
  <si>
    <t>https://linhkien.cxtvn.com/5731-ltv-356t-c-optoisolator-375kv-trans-4-sop.html</t>
  </si>
  <si>
    <t>LV14340DDAR</t>
  </si>
  <si>
    <t>U8</t>
  </si>
  <si>
    <t>SOIC8_DDA_TEX</t>
  </si>
  <si>
    <t>https://banlinhkiendientu.vn/lv14340ddar-14340-ic-nguon-sop8/</t>
  </si>
  <si>
    <t>MAX3485</t>
  </si>
  <si>
    <t>MAX3485ESA</t>
  </si>
  <si>
    <t>U3</t>
  </si>
  <si>
    <t>SOIC-8_3.9x4.9mm_P1.27mm</t>
  </si>
  <si>
    <t>https://linhkien.cxtvn.com/2485-max3485esa-ic-transceiver-half-11-8soic.html</t>
  </si>
  <si>
    <t>FSMD100</t>
  </si>
  <si>
    <t>FSMD100-1206R</t>
  </si>
  <si>
    <t>F3,F2</t>
  </si>
  <si>
    <t>Fuse_1206_3216Metric</t>
  </si>
  <si>
    <t>https://linhkien.cxtvn.com/4310-cau-chi-tu-phuc-hoi-pptc-smd1206.html</t>
  </si>
  <si>
    <t>PESD5Z3.3</t>
  </si>
  <si>
    <t>PESD3V3U1UA,115</t>
  </si>
  <si>
    <t>D19,D20,D23</t>
  </si>
  <si>
    <t>D_SOD-323</t>
  </si>
  <si>
    <t>https://linhkien.cxtvn.com/7411-pesd5z33-tvs-diode-33vwm-18vc-sod523-10c.html</t>
  </si>
  <si>
    <t>RS1M</t>
  </si>
  <si>
    <t>D1,D5,D6</t>
  </si>
  <si>
    <t>D_SOD-123</t>
  </si>
  <si>
    <t>https://linhkien.cxtvn.com/9278-rs1m-fr107-f7-diode-xung-1a-1000v-sod123-10c.html</t>
  </si>
  <si>
    <t>SM712</t>
  </si>
  <si>
    <t>SM712-02HTG</t>
  </si>
  <si>
    <t>D10</t>
  </si>
  <si>
    <t>https://linhkien.cxtvn.com/6062-sm712-02htg-tvs-diode-12v-31v-sot23-3.html</t>
  </si>
  <si>
    <t>SMAJ36CA</t>
  </si>
  <si>
    <t>D4</t>
  </si>
  <si>
    <t>DO-214AC</t>
  </si>
  <si>
    <t>https://linhkien.cxtvn.com/2361-smaj36ca-tvs-diode-36v-581v-smado214ac-5c.html</t>
  </si>
  <si>
    <t>SS34</t>
  </si>
  <si>
    <t>B340A-13-F</t>
  </si>
  <si>
    <t>D3,D8</t>
  </si>
  <si>
    <t>https://linhkien.cxtvn.com/1128-diode-ss34-sma-3a-40v-do-214ac.html</t>
  </si>
  <si>
    <t>TCAN3414DR</t>
  </si>
  <si>
    <t>U1</t>
  </si>
  <si>
    <t>https://www.lcsc.com/product-image/C22396693.html?whichImg=0&amp;spm=wm.sxq.inf.0.ltp&amp;lcsc_vid=FgQKUwVTEwAMAV1fQVNYUVEHTlZYXlFWT1EKVlNXQVIxVlNRQVRbUVxWR1dcVjtW</t>
  </si>
  <si>
    <t>TLV1117-33</t>
  </si>
  <si>
    <t>TLV1117LV33DCYR</t>
  </si>
  <si>
    <t>U7</t>
  </si>
  <si>
    <t>SOT-223-3_TabPin2</t>
  </si>
  <si>
    <t>https://linhkien.cxtvn.com/10200-tlv1117lv33dcyr-ic-reg-lin-33v-1a-sot223-4.html/page-6</t>
  </si>
  <si>
    <t>UART_CONN</t>
  </si>
  <si>
    <t>S4B-XH-A-1(LF)(SN)</t>
  </si>
  <si>
    <t>J2</t>
  </si>
  <si>
    <t>JST_XH_S4B-XH-A-1_1x04_P2.50mm_Horizontal</t>
  </si>
  <si>
    <t>https://linhkien.cxtvn.com/3053-header-duc-xh254-chan-cong.html</t>
  </si>
  <si>
    <t>USB2.0_16P</t>
  </si>
  <si>
    <t>USB4105-GF-A</t>
  </si>
  <si>
    <t>J1</t>
  </si>
  <si>
    <t>USB_C_Receptacle_GCT_USB4105-xx-A_16P_TopMnt_Horizontal</t>
  </si>
  <si>
    <t>https://linhkien.cxtvn.com/6914-cong-type-c-cai-16p-usb-31-v25c.html</t>
  </si>
  <si>
    <t>USBLC6-2SC6</t>
  </si>
  <si>
    <t>U5</t>
  </si>
  <si>
    <t>SOT-23-6</t>
  </si>
  <si>
    <t>https://linhkien.cxtvn.com/6071-usblc6-2sc6-tvs-diode-525v-17v-sot23-62c.html</t>
  </si>
  <si>
    <t>XT30PW-M</t>
  </si>
  <si>
    <t>XT30PW-M30.G.Y</t>
  </si>
  <si>
    <t>J3</t>
  </si>
  <si>
    <t>AMASS_XT30PW-M</t>
  </si>
  <si>
    <t>https://www.lcsc.com/product-detail/C53373776.html?s_z=n_q_x_XT30PW-M&amp;spm=wm.ssy.em.0.tz&amp;lcsc_vid=QVdWXlNWEgRZUwZWQwdYBgJeR1BaVAAFQwVfUFNXTlAxVlNeQFheU1BfTlVdUDsOAxUeFF5JWBYZEEoKFBINSQcJGk4eFQsCAgIaSg0LFgYLSCdURVJXUVJfRE8GEwkK</t>
  </si>
  <si>
    <t>Stencil</t>
  </si>
  <si>
    <t>Buy only once</t>
  </si>
  <si>
    <t>PCB (Estimate)</t>
  </si>
  <si>
    <t>TOTAL</t>
  </si>
  <si>
    <t>The price above does not include shipping fees and customs fees, if any.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</si>
</sst>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charset val="0"/>
    </font>
    <font>
      <u/>
      <sz val="11"/>
      <color theme="10"/>
      <name val="Times New Roman"/>
      <charset val="134"/>
    </font>
    <font>
      <u/>
      <sz val="11"/>
      <color rgb="FF800080"/>
      <name val="Times New Roman"/>
      <charset val="134"/>
    </font>
    <font>
      <sz val="11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vertical="center"/>
    </xf>
    <xf numFmtId="0" fontId="3" fillId="0" borderId="3" xfId="0" applyFont="1" applyBorder="1" applyAlignment="1">
      <alignment horizontal="left" vertical="top"/>
    </xf>
    <xf numFmtId="0" fontId="4" fillId="0" borderId="2" xfId="6" applyNumberFormat="1" applyFont="1" applyFill="1" applyBorder="1" applyAlignment="1">
      <alignment vertical="center"/>
    </xf>
    <xf numFmtId="0" fontId="5" fillId="0" borderId="2" xfId="6" applyNumberFormat="1" applyFont="1" applyFill="1" applyBorder="1" applyAlignment="1">
      <alignment vertical="center"/>
    </xf>
    <xf numFmtId="0" fontId="4" fillId="0" borderId="1" xfId="0" applyFont="1" applyBorder="1"/>
    <xf numFmtId="0" fontId="6" fillId="0" borderId="1" xfId="0" applyFont="1" applyBorder="1"/>
    <xf numFmtId="0" fontId="7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/>
    <xf numFmtId="3" fontId="8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inhkien.cxtvn.com/3033-tu-nhom-100uf-50v-8x105-5c.html" TargetMode="External"/><Relationship Id="rId8" Type="http://schemas.openxmlformats.org/officeDocument/2006/relationships/hyperlink" Target="https://linhkien.cxtvn.com/4430-tu-tantalum-3528-cac-gia-tri.html" TargetMode="External"/><Relationship Id="rId7" Type="http://schemas.openxmlformats.org/officeDocument/2006/relationships/hyperlink" Target="https://linhkien.cxtvn.com/9904-cuon-cam-0630-cac-gia-tri.html" TargetMode="External"/><Relationship Id="rId6" Type="http://schemas.openxmlformats.org/officeDocument/2006/relationships/hyperlink" Target="https://linhkien.cxtvn.com/2513-tu-0603-khong-phan-cuc.html" TargetMode="External"/><Relationship Id="rId5" Type="http://schemas.openxmlformats.org/officeDocument/2006/relationships/hyperlink" Target="https://linhkien.cxtvn.com/1976-tu-khong-phan-cuc-0805.html" TargetMode="External"/><Relationship Id="rId45" Type="http://schemas.openxmlformats.org/officeDocument/2006/relationships/hyperlink" Target="https://linhkien.cxtvn.com/6071-usblc6-2sc6-tvs-diode-525v-17v-sot23-62c.html" TargetMode="External"/><Relationship Id="rId44" Type="http://schemas.openxmlformats.org/officeDocument/2006/relationships/hyperlink" Target="https://linhkien.cxtvn.com/7411-pesd5z33-tvs-diode-33vwm-18vc-sod523-10c.html" TargetMode="External"/><Relationship Id="rId43" Type="http://schemas.openxmlformats.org/officeDocument/2006/relationships/hyperlink" Target="https://linhkien.cxtvn.com/6914-cong-type-c-cai-16p-usb-31-v25c.html" TargetMode="External"/><Relationship Id="rId42" Type="http://schemas.openxmlformats.org/officeDocument/2006/relationships/hyperlink" Target="https://linhkien.cxtvn.com/3053-header-duc-xh254-chan-cong.html" TargetMode="External"/><Relationship Id="rId41" Type="http://schemas.openxmlformats.org/officeDocument/2006/relationships/hyperlink" Target="https://linhkien.cxtvn.com/10200-tlv1117lv33dcyr-ic-reg-lin-33v-1a-sot223-4.html/page-6" TargetMode="External"/><Relationship Id="rId40" Type="http://schemas.openxmlformats.org/officeDocument/2006/relationships/hyperlink" Target="https://www.lcsc.com/product-image/C22396693.html?whichImg=0&amp;spm=wm.sxq.inf.0.ltp&amp;lcsc_vid=FgQKUwVTEwAMAV1fQVNYUVEHTlZYXlFWT1EKVlNXQVIxVlNRQVRbUVxWR1dcVjtW" TargetMode="External"/><Relationship Id="rId4" Type="http://schemas.openxmlformats.org/officeDocument/2006/relationships/hyperlink" Target="https://linhkien.cxtvn.com/3667-dien-tro-0r-1206-1-100c.html" TargetMode="External"/><Relationship Id="rId39" Type="http://schemas.openxmlformats.org/officeDocument/2006/relationships/hyperlink" Target="https://linhkien.cxtvn.com/1128-diode-ss34-sma-3a-40v-do-214ac.html" TargetMode="External"/><Relationship Id="rId38" Type="http://schemas.openxmlformats.org/officeDocument/2006/relationships/hyperlink" Target="https://linhkien.cxtvn.com/2361-smaj36ca-tvs-diode-36v-581v-smado214ac-5c.html" TargetMode="External"/><Relationship Id="rId37" Type="http://schemas.openxmlformats.org/officeDocument/2006/relationships/hyperlink" Target="https://linhkien.cxtvn.com/6062-sm712-02htg-tvs-diode-12v-31v-sot23-3.html" TargetMode="External"/><Relationship Id="rId36" Type="http://schemas.openxmlformats.org/officeDocument/2006/relationships/hyperlink" Target="https://linhkien.cxtvn.com/9278-rs1m-fr107-f7-diode-xung-1a-1000v-sod123-10c.html" TargetMode="External"/><Relationship Id="rId35" Type="http://schemas.openxmlformats.org/officeDocument/2006/relationships/hyperlink" Target="https://linhkien.cxtvn.com/4310-cau-chi-tu-phuc-hoi-pptc-smd1206.html" TargetMode="External"/><Relationship Id="rId34" Type="http://schemas.openxmlformats.org/officeDocument/2006/relationships/hyperlink" Target="https://linhkien.cxtvn.com/2485-max3485esa-ic-transceiver-half-11-8soic.html" TargetMode="External"/><Relationship Id="rId33" Type="http://schemas.openxmlformats.org/officeDocument/2006/relationships/hyperlink" Target="https://banlinhkiendientu.vn/lv14340ddar-14340-ic-nguon-sop8/" TargetMode="External"/><Relationship Id="rId32" Type="http://schemas.openxmlformats.org/officeDocument/2006/relationships/hyperlink" Target="https://linhkien.cxtvn.com/5731-ltv-356t-c-optoisolator-375kv-trans-4-sop.html" TargetMode="External"/><Relationship Id="rId31" Type="http://schemas.openxmlformats.org/officeDocument/2006/relationships/hyperlink" Target="https://linhkien.cxtvn.com/4216-led-0603-cac-mau.html" TargetMode="External"/><Relationship Id="rId30" Type="http://schemas.openxmlformats.org/officeDocument/2006/relationships/hyperlink" Target="https://linhkien.cxtvn.com/9356-esp32-wroom-32ue-n16-rf-txrx-module-wifi-ufl-smd.html" TargetMode="External"/><Relationship Id="rId3" Type="http://schemas.openxmlformats.org/officeDocument/2006/relationships/hyperlink" Target="https://linhkien.cxtvn.com/2289-dien-tro-33k-0603-1-100c.html" TargetMode="External"/><Relationship Id="rId29" Type="http://schemas.openxmlformats.org/officeDocument/2006/relationships/hyperlink" Target="https://www.lcsc.com/product-detail/C20345391.html?s_z=n_q_ESD2CANFD24&amp;spm=wm.fly.bg.1.xh&amp;lcsc_vid=RlJfAwBQQlhYVVFTFlNbXlcHFgJZBQdRTgRYAlJVQ1kxVlNeQVhdUF1VTlJfVzsOAxUeFF5JWBYZEEoKFBINSQcJGk4eFQsCAgIaSgADAwAHC0slQlRcU1xQWQkaCgg%3D" TargetMode="External"/><Relationship Id="rId28" Type="http://schemas.openxmlformats.org/officeDocument/2006/relationships/hyperlink" Target="https://linhkien.cxtvn.com/10278-b3u-1000p-nut-nhan-smd-2p-3x25x16mm.html" TargetMode="External"/><Relationship Id="rId27" Type="http://schemas.openxmlformats.org/officeDocument/2006/relationships/hyperlink" Target="https://linhkien.cxtvn.com/3878-header-duc-xh254-6p-chan-cong-10c.html" TargetMode="External"/><Relationship Id="rId26" Type="http://schemas.openxmlformats.org/officeDocument/2006/relationships/hyperlink" Target="https://linhkien.cxtvn.com/3486-cau-dau-15edg381-381mm-xanh-cong-mau-nhat.html" TargetMode="External"/><Relationship Id="rId25" Type="http://schemas.openxmlformats.org/officeDocument/2006/relationships/hyperlink" Target="https://linhkien.cxtvn.com/4690-ch340c-ic-transceiver-2mbps-usb20-sop-16.html" TargetMode="External"/><Relationship Id="rId24" Type="http://schemas.openxmlformats.org/officeDocument/2006/relationships/hyperlink" Target="https://linhkien.cxtvn.com/5979-bc817-40-transistor-npn-45v-05a-sot23-10c.html" TargetMode="External"/><Relationship Id="rId23" Type="http://schemas.openxmlformats.org/officeDocument/2006/relationships/hyperlink" Target="https://linhkien.cxtvn.com/3426-tu-330-33pf-0603-50v-20c.html" TargetMode="External"/><Relationship Id="rId22" Type="http://schemas.openxmlformats.org/officeDocument/2006/relationships/hyperlink" Target="https://linhkien.cxtvn.com/3565-d882-2sd882-npn-transistor-15a-40v-sot-89-10c.html" TargetMode="External"/><Relationship Id="rId21" Type="http://schemas.openxmlformats.org/officeDocument/2006/relationships/hyperlink" Target="https://linhkien.cxtvn.com/1982-tu-105-1uf-0603-50v-10-20c.html" TargetMode="External"/><Relationship Id="rId20" Type="http://schemas.openxmlformats.org/officeDocument/2006/relationships/hyperlink" Target="https://linhkien.cxtvn.com/2886-tu-106-10uf-0603-50v-10-20c.html" TargetMode="External"/><Relationship Id="rId2" Type="http://schemas.openxmlformats.org/officeDocument/2006/relationships/hyperlink" Target="https://www.lcsc.com/product-detail/C1346461.html?s_z=n_q_INA240A2&amp;spm=wm.fly.bg.1.xh&amp;lcsc_vid=QVdWXlNWEgRZUwZWQwdYBgJeR1BaVAAFQwVfUFNXTlAxVlNeQFheU1NSQVleUzsOAxUeFF5JWBYZEEoKFBINSQcJGk4eFQsCAgIaSgADAwAHC0slTlJXUVFIHxUDCw%3D%3D" TargetMode="External"/><Relationship Id="rId19" Type="http://schemas.openxmlformats.org/officeDocument/2006/relationships/hyperlink" Target="https://linhkien.cxtvn.com/6736-0603b104k500nt-tu-100nf-50v-10-0603-20c.html" TargetMode="External"/><Relationship Id="rId18" Type="http://schemas.openxmlformats.org/officeDocument/2006/relationships/hyperlink" Target="https://linhkien.cxtvn.com/1981-tu-0603-khong-phan-cuc.html" TargetMode="External"/><Relationship Id="rId17" Type="http://schemas.openxmlformats.org/officeDocument/2006/relationships/hyperlink" Target="https://linhkien.cxtvn.com/3447-dien-tro-120r-0603-1-100c.html" TargetMode="External"/><Relationship Id="rId16" Type="http://schemas.openxmlformats.org/officeDocument/2006/relationships/hyperlink" Target="https://linhkien.cxtvn.com/2304-dien-tro-68k-0603-1-100c.html" TargetMode="External"/><Relationship Id="rId15" Type="http://schemas.openxmlformats.org/officeDocument/2006/relationships/hyperlink" Target="https://linhkien.cxtvn.com/2395-dien-tro-499r-0603-1-100c.html" TargetMode="External"/><Relationship Id="rId14" Type="http://schemas.openxmlformats.org/officeDocument/2006/relationships/hyperlink" Target="https://linhkien.cxtvn.com/4536-dien-tro-12k-0603-1-100c.html" TargetMode="External"/><Relationship Id="rId13" Type="http://schemas.openxmlformats.org/officeDocument/2006/relationships/hyperlink" Target="https://linhkien.cxtvn.com/1422-dien-tro-10k-0603-1-100c.html" TargetMode="External"/><Relationship Id="rId12" Type="http://schemas.openxmlformats.org/officeDocument/2006/relationships/hyperlink" Target="https://linhkien.cxtvn.com/2291-dien-tro-51k-0603-1-100c.html" TargetMode="External"/><Relationship Id="rId11" Type="http://schemas.openxmlformats.org/officeDocument/2006/relationships/hyperlink" Target="https://linhkien.cxtvn.com/2398-dien-tro-47k-0603-1-100c.html" TargetMode="External"/><Relationship Id="rId10" Type="http://schemas.openxmlformats.org/officeDocument/2006/relationships/hyperlink" Target="https://linhkien.cxtvn.com/1424-dien-tro-1k-0603-1-100c.html" TargetMode="External"/><Relationship Id="rId1" Type="http://schemas.openxmlformats.org/officeDocument/2006/relationships/hyperlink" Target="https://www.lcsc.com/product-detail/C53373776.html?s_z=n_q_x_XT30PW-M&amp;spm=wm.ssy.em.0.tz&amp;lcsc_vid=QVdWXlNWEgRZUwZWQwdYBgJeR1BaVAAFQwVfUFNXTlAxVlNeQFheU1BfTlVdUDsOAxUeFF5JWBYZEEoKFBINSQcJGk4eFQsCAgIaSg0LFgYLSCdURVJXUVJfRE8GEw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"/>
  <sheetViews>
    <sheetView tabSelected="1" workbookViewId="0">
      <selection activeCell="D22" sqref="D22"/>
    </sheetView>
  </sheetViews>
  <sheetFormatPr defaultColWidth="9" defaultRowHeight="15"/>
  <cols>
    <col min="1" max="1" width="19" style="2" customWidth="1"/>
    <col min="2" max="2" width="23.25" style="2" customWidth="1"/>
    <col min="3" max="3" width="40.25" style="2" customWidth="1"/>
    <col min="4" max="4" width="48.25" style="2" customWidth="1"/>
    <col min="5" max="5" width="11.5" style="3" customWidth="1"/>
    <col min="6" max="6" width="12.625" style="4" customWidth="1"/>
    <col min="7" max="7" width="16.5666666666667" style="4" customWidth="1"/>
    <col min="8" max="8" width="84.875" style="2" customWidth="1"/>
    <col min="9" max="16384" width="9" style="2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1" t="s">
        <v>7</v>
      </c>
    </row>
    <row r="2" spans="1:8">
      <c r="A2" s="6" t="s">
        <v>8</v>
      </c>
      <c r="B2" s="7" t="s">
        <v>9</v>
      </c>
      <c r="C2" s="6" t="s">
        <v>10</v>
      </c>
      <c r="D2" s="6" t="s">
        <v>11</v>
      </c>
      <c r="E2" s="3">
        <v>1</v>
      </c>
      <c r="F2" s="4">
        <v>45</v>
      </c>
      <c r="G2" s="4">
        <f>PRODUCT(E2:F2)</f>
        <v>45</v>
      </c>
      <c r="H2" s="8" t="s">
        <v>12</v>
      </c>
    </row>
    <row r="3" spans="1:8">
      <c r="A3" s="6" t="s">
        <v>13</v>
      </c>
      <c r="B3" s="7" t="s">
        <v>14</v>
      </c>
      <c r="C3" s="6" t="s">
        <v>15</v>
      </c>
      <c r="D3" s="6" t="s">
        <v>16</v>
      </c>
      <c r="E3" s="3">
        <v>1</v>
      </c>
      <c r="F3" s="4">
        <v>200</v>
      </c>
      <c r="G3" s="4">
        <f>PRODUCT(E3:F3)</f>
        <v>200</v>
      </c>
      <c r="H3" s="8" t="s">
        <v>17</v>
      </c>
    </row>
    <row r="4" spans="1:8">
      <c r="A4" s="6" t="s">
        <v>18</v>
      </c>
      <c r="B4" s="7" t="s">
        <v>19</v>
      </c>
      <c r="C4" s="6" t="s">
        <v>20</v>
      </c>
      <c r="D4" s="6" t="s">
        <v>21</v>
      </c>
      <c r="E4" s="3">
        <v>1</v>
      </c>
      <c r="F4" s="4">
        <v>200</v>
      </c>
      <c r="G4" s="4">
        <f t="shared" ref="G4:G35" si="0">PRODUCT(E4:F4)</f>
        <v>200</v>
      </c>
      <c r="H4" s="8" t="s">
        <v>22</v>
      </c>
    </row>
    <row r="5" spans="1:8">
      <c r="A5" s="6" t="s">
        <v>23</v>
      </c>
      <c r="B5" s="7" t="s">
        <v>24</v>
      </c>
      <c r="C5" s="6" t="s">
        <v>25</v>
      </c>
      <c r="D5" s="6" t="s">
        <v>16</v>
      </c>
      <c r="E5" s="3">
        <v>6</v>
      </c>
      <c r="F5" s="4">
        <v>180</v>
      </c>
      <c r="G5" s="4">
        <f t="shared" si="0"/>
        <v>1080</v>
      </c>
      <c r="H5" s="8" t="s">
        <v>17</v>
      </c>
    </row>
    <row r="6" spans="1:8">
      <c r="A6" s="6" t="s">
        <v>26</v>
      </c>
      <c r="B6" s="7" t="s">
        <v>27</v>
      </c>
      <c r="C6" s="6" t="s">
        <v>28</v>
      </c>
      <c r="D6" s="6" t="s">
        <v>29</v>
      </c>
      <c r="E6" s="3">
        <v>1</v>
      </c>
      <c r="F6" s="4">
        <v>1925</v>
      </c>
      <c r="G6" s="4">
        <f t="shared" si="0"/>
        <v>1925</v>
      </c>
      <c r="H6" s="9" t="s">
        <v>30</v>
      </c>
    </row>
    <row r="7" spans="1:8">
      <c r="A7" s="6" t="s">
        <v>31</v>
      </c>
      <c r="B7" s="7" t="s">
        <v>32</v>
      </c>
      <c r="C7" s="6" t="s">
        <v>33</v>
      </c>
      <c r="D7" s="6" t="s">
        <v>16</v>
      </c>
      <c r="E7" s="3">
        <v>1</v>
      </c>
      <c r="F7" s="4">
        <v>180</v>
      </c>
      <c r="G7" s="4">
        <f t="shared" si="0"/>
        <v>180</v>
      </c>
      <c r="H7" s="8" t="s">
        <v>17</v>
      </c>
    </row>
    <row r="8" spans="1:8">
      <c r="A8" s="6" t="s">
        <v>34</v>
      </c>
      <c r="B8" s="7" t="s">
        <v>35</v>
      </c>
      <c r="C8" s="6" t="s">
        <v>36</v>
      </c>
      <c r="D8" s="6" t="s">
        <v>37</v>
      </c>
      <c r="E8" s="3">
        <v>1</v>
      </c>
      <c r="F8" s="4">
        <v>3000</v>
      </c>
      <c r="G8" s="4">
        <f t="shared" si="0"/>
        <v>3000</v>
      </c>
      <c r="H8" s="9" t="s">
        <v>38</v>
      </c>
    </row>
    <row r="9" spans="1:8">
      <c r="A9" s="6" t="s">
        <v>39</v>
      </c>
      <c r="B9" s="7" t="s">
        <v>40</v>
      </c>
      <c r="C9" s="6" t="s">
        <v>41</v>
      </c>
      <c r="D9" s="6" t="s">
        <v>16</v>
      </c>
      <c r="E9" s="3">
        <v>2</v>
      </c>
      <c r="F9" s="4">
        <v>475</v>
      </c>
      <c r="G9" s="4">
        <f t="shared" si="0"/>
        <v>950</v>
      </c>
      <c r="H9" s="8" t="s">
        <v>17</v>
      </c>
    </row>
    <row r="10" spans="1:8">
      <c r="A10" s="6" t="s">
        <v>42</v>
      </c>
      <c r="B10" s="7" t="s">
        <v>43</v>
      </c>
      <c r="C10" s="6" t="s">
        <v>44</v>
      </c>
      <c r="D10" s="6" t="s">
        <v>45</v>
      </c>
      <c r="E10" s="3">
        <v>1</v>
      </c>
      <c r="F10" s="4">
        <v>1300</v>
      </c>
      <c r="G10" s="4">
        <f t="shared" si="0"/>
        <v>1300</v>
      </c>
      <c r="H10" s="8" t="s">
        <v>46</v>
      </c>
    </row>
    <row r="11" spans="1:8">
      <c r="A11" s="6" t="s">
        <v>47</v>
      </c>
      <c r="B11" s="7" t="s">
        <v>48</v>
      </c>
      <c r="C11" s="6" t="s">
        <v>49</v>
      </c>
      <c r="D11" s="6" t="s">
        <v>50</v>
      </c>
      <c r="E11" s="3">
        <v>4</v>
      </c>
      <c r="F11" s="4">
        <v>36</v>
      </c>
      <c r="G11" s="4">
        <f t="shared" si="0"/>
        <v>144</v>
      </c>
      <c r="H11" s="8" t="s">
        <v>51</v>
      </c>
    </row>
    <row r="12" spans="1:8">
      <c r="A12" s="6" t="s">
        <v>52</v>
      </c>
      <c r="B12" s="7" t="s">
        <v>53</v>
      </c>
      <c r="C12" s="6" t="s">
        <v>54</v>
      </c>
      <c r="D12" s="6" t="s">
        <v>50</v>
      </c>
      <c r="E12" s="3">
        <v>7</v>
      </c>
      <c r="F12" s="4">
        <v>36</v>
      </c>
      <c r="G12" s="4">
        <f t="shared" si="0"/>
        <v>252</v>
      </c>
      <c r="H12" s="8" t="s">
        <v>55</v>
      </c>
    </row>
    <row r="13" spans="1:8">
      <c r="A13" s="6" t="s">
        <v>56</v>
      </c>
      <c r="B13" s="7" t="s">
        <v>57</v>
      </c>
      <c r="C13" s="6" t="s">
        <v>58</v>
      </c>
      <c r="D13" s="6" t="s">
        <v>50</v>
      </c>
      <c r="E13" s="3">
        <v>1</v>
      </c>
      <c r="F13" s="4">
        <v>36</v>
      </c>
      <c r="G13" s="4">
        <f t="shared" si="0"/>
        <v>36</v>
      </c>
      <c r="H13" s="8" t="s">
        <v>59</v>
      </c>
    </row>
    <row r="14" spans="1:8">
      <c r="A14" s="6" t="s">
        <v>60</v>
      </c>
      <c r="B14" s="7" t="s">
        <v>61</v>
      </c>
      <c r="C14" s="6" t="s">
        <v>62</v>
      </c>
      <c r="D14" s="6" t="s">
        <v>50</v>
      </c>
      <c r="E14" s="3">
        <v>2</v>
      </c>
      <c r="F14" s="4">
        <v>36</v>
      </c>
      <c r="G14" s="4">
        <f t="shared" si="0"/>
        <v>72</v>
      </c>
      <c r="H14" s="8" t="s">
        <v>63</v>
      </c>
    </row>
    <row r="15" spans="1:8">
      <c r="A15" s="6" t="s">
        <v>64</v>
      </c>
      <c r="B15" s="7" t="s">
        <v>65</v>
      </c>
      <c r="C15" s="6" t="s">
        <v>66</v>
      </c>
      <c r="D15" s="6" t="s">
        <v>50</v>
      </c>
      <c r="E15" s="3">
        <v>12</v>
      </c>
      <c r="F15" s="4">
        <v>36</v>
      </c>
      <c r="G15" s="4">
        <f t="shared" si="0"/>
        <v>432</v>
      </c>
      <c r="H15" s="8" t="s">
        <v>67</v>
      </c>
    </row>
    <row r="16" spans="1:8">
      <c r="A16" s="6" t="s">
        <v>64</v>
      </c>
      <c r="B16" s="7" t="s">
        <v>68</v>
      </c>
      <c r="C16" s="6" t="s">
        <v>69</v>
      </c>
      <c r="D16" s="6" t="s">
        <v>70</v>
      </c>
      <c r="E16" s="3">
        <v>2</v>
      </c>
      <c r="F16" s="4">
        <v>36</v>
      </c>
      <c r="G16" s="4">
        <f t="shared" si="0"/>
        <v>72</v>
      </c>
      <c r="H16" s="8" t="s">
        <v>67</v>
      </c>
    </row>
    <row r="17" spans="1:16">
      <c r="A17" s="6" t="s">
        <v>71</v>
      </c>
      <c r="B17" s="7" t="s">
        <v>72</v>
      </c>
      <c r="C17" s="6" t="s">
        <v>73</v>
      </c>
      <c r="D17" s="6" t="s">
        <v>50</v>
      </c>
      <c r="E17" s="3">
        <v>1</v>
      </c>
      <c r="F17" s="4">
        <v>36</v>
      </c>
      <c r="G17" s="4">
        <f t="shared" si="0"/>
        <v>36</v>
      </c>
      <c r="H17" s="8" t="s">
        <v>74</v>
      </c>
    </row>
    <row r="18" spans="1:16">
      <c r="A18" s="6" t="s">
        <v>75</v>
      </c>
      <c r="B18" s="7" t="s">
        <v>76</v>
      </c>
      <c r="C18" s="6" t="s">
        <v>77</v>
      </c>
      <c r="D18" s="6" t="s">
        <v>50</v>
      </c>
      <c r="E18" s="3">
        <v>1</v>
      </c>
      <c r="F18" s="4">
        <v>36</v>
      </c>
      <c r="G18" s="4">
        <f t="shared" si="0"/>
        <v>36</v>
      </c>
      <c r="H18" s="6" t="s">
        <v>78</v>
      </c>
    </row>
    <row r="19" spans="1:16">
      <c r="A19" s="6" t="s">
        <v>79</v>
      </c>
      <c r="B19" s="7" t="s">
        <v>80</v>
      </c>
      <c r="C19" s="6" t="s">
        <v>81</v>
      </c>
      <c r="D19" s="6" t="s">
        <v>50</v>
      </c>
      <c r="E19" s="3">
        <v>1</v>
      </c>
      <c r="F19" s="4">
        <v>36</v>
      </c>
      <c r="G19" s="4">
        <f t="shared" si="0"/>
        <v>36</v>
      </c>
      <c r="H19" s="6" t="s">
        <v>82</v>
      </c>
      <c r="I19" s="10"/>
      <c r="J19" s="10"/>
      <c r="K19" s="10"/>
      <c r="L19" s="10"/>
      <c r="M19" s="10"/>
      <c r="N19" s="10"/>
      <c r="O19" s="10"/>
      <c r="P19" s="10"/>
    </row>
    <row r="20" spans="1:16">
      <c r="A20" s="6" t="s">
        <v>83</v>
      </c>
      <c r="B20" s="7" t="s">
        <v>84</v>
      </c>
      <c r="C20" s="6" t="s">
        <v>85</v>
      </c>
      <c r="D20" s="6" t="s">
        <v>50</v>
      </c>
      <c r="E20" s="3">
        <v>1</v>
      </c>
      <c r="F20" s="4">
        <v>36</v>
      </c>
      <c r="G20" s="4">
        <f t="shared" si="0"/>
        <v>36</v>
      </c>
      <c r="H20" s="6" t="s">
        <v>86</v>
      </c>
    </row>
    <row r="21" spans="1:16">
      <c r="A21" s="6" t="s">
        <v>87</v>
      </c>
      <c r="B21" s="7" t="s">
        <v>88</v>
      </c>
      <c r="C21" s="6" t="s">
        <v>89</v>
      </c>
      <c r="D21" s="6" t="s">
        <v>50</v>
      </c>
      <c r="E21" s="3">
        <v>1</v>
      </c>
      <c r="F21" s="4">
        <v>36</v>
      </c>
      <c r="G21" s="4">
        <f t="shared" si="0"/>
        <v>36</v>
      </c>
      <c r="H21" s="8" t="s">
        <v>90</v>
      </c>
    </row>
    <row r="22" spans="1:16">
      <c r="A22" s="6" t="s">
        <v>91</v>
      </c>
      <c r="B22" s="7" t="s">
        <v>92</v>
      </c>
      <c r="C22" s="6" t="s">
        <v>93</v>
      </c>
      <c r="D22" s="6" t="s">
        <v>50</v>
      </c>
      <c r="E22" s="3">
        <v>1</v>
      </c>
      <c r="F22" s="4">
        <v>36</v>
      </c>
      <c r="G22" s="4">
        <f t="shared" si="0"/>
        <v>36</v>
      </c>
      <c r="H22" s="8" t="s">
        <v>94</v>
      </c>
    </row>
    <row r="23" spans="1:16">
      <c r="A23" s="6" t="s">
        <v>95</v>
      </c>
      <c r="B23" s="7" t="s">
        <v>96</v>
      </c>
      <c r="C23" s="6" t="s">
        <v>97</v>
      </c>
      <c r="D23" s="6" t="s">
        <v>50</v>
      </c>
      <c r="E23" s="3">
        <v>3</v>
      </c>
      <c r="F23" s="4">
        <v>36</v>
      </c>
      <c r="G23" s="4">
        <f t="shared" si="0"/>
        <v>108</v>
      </c>
      <c r="H23" s="8" t="s">
        <v>86</v>
      </c>
    </row>
    <row r="24" spans="1:16">
      <c r="A24" s="6" t="s">
        <v>98</v>
      </c>
      <c r="B24" s="7" t="s">
        <v>99</v>
      </c>
      <c r="C24" s="6" t="s">
        <v>100</v>
      </c>
      <c r="D24" s="6" t="s">
        <v>50</v>
      </c>
      <c r="E24" s="3">
        <v>3</v>
      </c>
      <c r="F24" s="4">
        <v>36</v>
      </c>
      <c r="G24" s="4">
        <f t="shared" si="0"/>
        <v>108</v>
      </c>
      <c r="H24" s="6" t="s">
        <v>101</v>
      </c>
      <c r="I24" s="10"/>
      <c r="J24" s="10"/>
      <c r="K24" s="10"/>
      <c r="L24" s="10"/>
      <c r="M24" s="10"/>
      <c r="N24" s="10"/>
      <c r="O24" s="10"/>
      <c r="P24" s="10"/>
    </row>
    <row r="25" spans="1:16">
      <c r="A25" s="6" t="s">
        <v>23</v>
      </c>
      <c r="B25" s="7" t="s">
        <v>102</v>
      </c>
      <c r="C25" s="6" t="s">
        <v>103</v>
      </c>
      <c r="D25" s="6" t="s">
        <v>21</v>
      </c>
      <c r="E25" s="3">
        <v>8</v>
      </c>
      <c r="F25" s="4">
        <v>180</v>
      </c>
      <c r="G25" s="4">
        <f t="shared" si="0"/>
        <v>1440</v>
      </c>
      <c r="H25" s="8" t="s">
        <v>104</v>
      </c>
    </row>
    <row r="26" spans="1:16">
      <c r="A26" s="6" t="s">
        <v>105</v>
      </c>
      <c r="B26" s="7" t="s">
        <v>106</v>
      </c>
      <c r="C26" s="6" t="s">
        <v>107</v>
      </c>
      <c r="D26" s="6" t="s">
        <v>21</v>
      </c>
      <c r="E26" s="3">
        <v>1</v>
      </c>
      <c r="F26" s="4">
        <v>200</v>
      </c>
      <c r="G26" s="4">
        <f t="shared" si="0"/>
        <v>200</v>
      </c>
      <c r="H26" s="8" t="s">
        <v>108</v>
      </c>
    </row>
    <row r="27" spans="1:16">
      <c r="A27" s="6" t="s">
        <v>31</v>
      </c>
      <c r="B27" s="7" t="s">
        <v>109</v>
      </c>
      <c r="C27" s="6" t="s">
        <v>110</v>
      </c>
      <c r="D27" s="6" t="s">
        <v>21</v>
      </c>
      <c r="E27" s="3">
        <v>3</v>
      </c>
      <c r="F27" s="4">
        <v>230</v>
      </c>
      <c r="G27" s="4">
        <f t="shared" si="0"/>
        <v>690</v>
      </c>
      <c r="H27" s="8" t="s">
        <v>111</v>
      </c>
    </row>
    <row r="28" spans="1:16">
      <c r="A28" s="6" t="s">
        <v>112</v>
      </c>
      <c r="B28" s="7" t="s">
        <v>113</v>
      </c>
      <c r="C28" s="6" t="s">
        <v>114</v>
      </c>
      <c r="D28" s="6" t="s">
        <v>21</v>
      </c>
      <c r="E28" s="3">
        <v>3</v>
      </c>
      <c r="F28" s="4">
        <v>200</v>
      </c>
      <c r="G28" s="4">
        <f t="shared" si="0"/>
        <v>600</v>
      </c>
      <c r="H28" s="8" t="s">
        <v>115</v>
      </c>
    </row>
    <row r="29" spans="1:16">
      <c r="A29" s="6" t="s">
        <v>116</v>
      </c>
      <c r="B29" s="7" t="s">
        <v>117</v>
      </c>
      <c r="C29" s="6" t="s">
        <v>118</v>
      </c>
      <c r="D29" s="6" t="s">
        <v>119</v>
      </c>
      <c r="E29" s="3">
        <v>3</v>
      </c>
      <c r="F29" s="4">
        <v>600</v>
      </c>
      <c r="G29" s="4">
        <f t="shared" si="0"/>
        <v>1800</v>
      </c>
      <c r="H29" s="8" t="s">
        <v>120</v>
      </c>
    </row>
    <row r="30" spans="1:16">
      <c r="A30" s="6" t="s">
        <v>13</v>
      </c>
      <c r="B30" s="7" t="s">
        <v>121</v>
      </c>
      <c r="C30" s="6" t="s">
        <v>122</v>
      </c>
      <c r="D30" s="6" t="s">
        <v>21</v>
      </c>
      <c r="E30" s="3">
        <v>3</v>
      </c>
      <c r="F30" s="4">
        <v>200</v>
      </c>
      <c r="G30" s="4">
        <f t="shared" si="0"/>
        <v>600</v>
      </c>
      <c r="H30" s="8" t="s">
        <v>123</v>
      </c>
    </row>
    <row r="31" spans="1:16">
      <c r="A31" s="6" t="s">
        <v>124</v>
      </c>
      <c r="B31" s="7" t="s">
        <v>125</v>
      </c>
      <c r="C31" s="6" t="s">
        <v>126</v>
      </c>
      <c r="D31" s="6" t="s">
        <v>127</v>
      </c>
      <c r="E31" s="3">
        <v>2</v>
      </c>
      <c r="F31" s="4">
        <v>650</v>
      </c>
      <c r="G31" s="4">
        <f t="shared" si="0"/>
        <v>1300</v>
      </c>
      <c r="H31" s="8" t="s">
        <v>128</v>
      </c>
    </row>
    <row r="32" spans="1:16">
      <c r="A32" s="6" t="s">
        <v>129</v>
      </c>
      <c r="B32" s="7" t="s">
        <v>129</v>
      </c>
      <c r="C32" s="6" t="s">
        <v>130</v>
      </c>
      <c r="D32" s="6" t="s">
        <v>131</v>
      </c>
      <c r="E32" s="3">
        <v>1</v>
      </c>
      <c r="F32" s="4">
        <v>11000</v>
      </c>
      <c r="G32" s="4">
        <f t="shared" si="0"/>
        <v>11000</v>
      </c>
      <c r="H32" s="8" t="s">
        <v>132</v>
      </c>
    </row>
    <row r="33" spans="1:16">
      <c r="A33" s="6" t="s">
        <v>133</v>
      </c>
      <c r="B33" s="7">
        <v>1803277</v>
      </c>
      <c r="C33" s="6" t="s">
        <v>134</v>
      </c>
      <c r="D33" s="6" t="s">
        <v>135</v>
      </c>
      <c r="E33" s="3">
        <v>1</v>
      </c>
      <c r="F33" s="4">
        <v>2000</v>
      </c>
      <c r="G33" s="4">
        <f t="shared" si="0"/>
        <v>2000</v>
      </c>
      <c r="H33" s="8" t="s">
        <v>136</v>
      </c>
    </row>
    <row r="34" spans="1:16">
      <c r="A34" s="6" t="s">
        <v>137</v>
      </c>
      <c r="B34" s="7">
        <v>1803280</v>
      </c>
      <c r="C34" s="6" t="s">
        <v>138</v>
      </c>
      <c r="D34" s="6" t="s">
        <v>139</v>
      </c>
      <c r="E34" s="3">
        <v>3</v>
      </c>
      <c r="F34" s="4">
        <v>2900</v>
      </c>
      <c r="G34" s="4">
        <f t="shared" si="0"/>
        <v>8700</v>
      </c>
      <c r="H34" s="9" t="s">
        <v>136</v>
      </c>
    </row>
    <row r="35" spans="1:16">
      <c r="A35" s="6" t="s">
        <v>140</v>
      </c>
      <c r="B35" s="7" t="s">
        <v>141</v>
      </c>
      <c r="C35" s="6" t="s">
        <v>142</v>
      </c>
      <c r="D35" s="6" t="s">
        <v>143</v>
      </c>
      <c r="E35" s="3">
        <v>1</v>
      </c>
      <c r="F35" s="4">
        <v>280</v>
      </c>
      <c r="G35" s="4">
        <f t="shared" si="0"/>
        <v>280</v>
      </c>
      <c r="H35" s="8" t="s">
        <v>144</v>
      </c>
    </row>
    <row r="36" spans="1:16">
      <c r="A36" s="6" t="s">
        <v>145</v>
      </c>
      <c r="B36" s="7" t="s">
        <v>146</v>
      </c>
      <c r="C36" s="6" t="s">
        <v>147</v>
      </c>
      <c r="D36" s="6" t="s">
        <v>148</v>
      </c>
      <c r="E36" s="3">
        <v>1</v>
      </c>
      <c r="F36" s="4">
        <v>3000</v>
      </c>
      <c r="G36" s="4">
        <f t="shared" ref="G36:G55" si="1">PRODUCT(E36:F36)</f>
        <v>3000</v>
      </c>
      <c r="H36" s="8" t="s">
        <v>149</v>
      </c>
    </row>
    <row r="37" spans="1:16">
      <c r="A37" s="6" t="s">
        <v>150</v>
      </c>
      <c r="B37" s="7" t="s">
        <v>150</v>
      </c>
      <c r="C37" s="6" t="s">
        <v>151</v>
      </c>
      <c r="D37" s="6" t="s">
        <v>127</v>
      </c>
      <c r="E37" s="3">
        <v>1</v>
      </c>
      <c r="F37" s="4">
        <v>4800</v>
      </c>
      <c r="G37" s="4">
        <f t="shared" si="1"/>
        <v>4800</v>
      </c>
      <c r="H37" s="8" t="s">
        <v>152</v>
      </c>
    </row>
    <row r="38" spans="1:16">
      <c r="A38" s="6" t="s">
        <v>153</v>
      </c>
      <c r="B38" s="7" t="s">
        <v>154</v>
      </c>
      <c r="C38" s="6" t="s">
        <v>155</v>
      </c>
      <c r="D38" s="6" t="s">
        <v>156</v>
      </c>
      <c r="E38" s="3">
        <v>1</v>
      </c>
      <c r="F38" s="4">
        <v>95000</v>
      </c>
      <c r="G38" s="4">
        <f t="shared" si="1"/>
        <v>95000</v>
      </c>
      <c r="H38" s="9" t="s">
        <v>157</v>
      </c>
    </row>
    <row r="39" spans="1:16">
      <c r="A39" s="6" t="s">
        <v>158</v>
      </c>
      <c r="B39" s="7" t="s">
        <v>159</v>
      </c>
      <c r="C39" s="6" t="s">
        <v>160</v>
      </c>
      <c r="D39" s="6" t="s">
        <v>161</v>
      </c>
      <c r="E39" s="3">
        <v>1</v>
      </c>
      <c r="F39" s="4">
        <v>88900</v>
      </c>
      <c r="G39" s="4">
        <f t="shared" si="1"/>
        <v>88900</v>
      </c>
      <c r="H39" s="9" t="s">
        <v>162</v>
      </c>
    </row>
    <row r="40" spans="1:16">
      <c r="A40" s="6" t="s">
        <v>163</v>
      </c>
      <c r="B40" s="7" t="s">
        <v>164</v>
      </c>
      <c r="C40" s="6" t="s">
        <v>165</v>
      </c>
      <c r="D40" s="6" t="s">
        <v>166</v>
      </c>
      <c r="E40" s="3">
        <v>1</v>
      </c>
      <c r="F40" s="4">
        <v>190</v>
      </c>
      <c r="G40" s="4">
        <f t="shared" si="1"/>
        <v>190</v>
      </c>
      <c r="H40" s="8" t="s">
        <v>167</v>
      </c>
    </row>
    <row r="41" spans="1:16">
      <c r="A41" s="6" t="s">
        <v>168</v>
      </c>
      <c r="B41" s="7" t="s">
        <v>169</v>
      </c>
      <c r="C41" s="6" t="s">
        <v>170</v>
      </c>
      <c r="D41" s="6" t="s">
        <v>171</v>
      </c>
      <c r="E41" s="3">
        <v>5</v>
      </c>
      <c r="F41" s="4">
        <v>1700</v>
      </c>
      <c r="G41" s="4">
        <f t="shared" si="1"/>
        <v>8500</v>
      </c>
      <c r="H41" s="9" t="s">
        <v>172</v>
      </c>
    </row>
    <row r="42" spans="1:16">
      <c r="A42" s="6" t="s">
        <v>173</v>
      </c>
      <c r="B42" s="7" t="s">
        <v>173</v>
      </c>
      <c r="C42" s="6" t="s">
        <v>174</v>
      </c>
      <c r="D42" s="6" t="s">
        <v>175</v>
      </c>
      <c r="E42" s="3">
        <v>1</v>
      </c>
      <c r="F42" s="4">
        <v>39000</v>
      </c>
      <c r="G42" s="4">
        <f t="shared" si="1"/>
        <v>39000</v>
      </c>
      <c r="H42" s="9" t="s">
        <v>176</v>
      </c>
    </row>
    <row r="43" spans="1:16">
      <c r="A43" s="6" t="s">
        <v>177</v>
      </c>
      <c r="B43" s="7" t="s">
        <v>178</v>
      </c>
      <c r="C43" s="6" t="s">
        <v>179</v>
      </c>
      <c r="D43" s="6" t="s">
        <v>180</v>
      </c>
      <c r="E43" s="3">
        <v>1</v>
      </c>
      <c r="F43" s="4">
        <v>7000</v>
      </c>
      <c r="G43" s="4">
        <f t="shared" si="1"/>
        <v>7000</v>
      </c>
      <c r="H43" s="9" t="s">
        <v>181</v>
      </c>
    </row>
    <row r="44" spans="1:16">
      <c r="A44" s="6" t="s">
        <v>182</v>
      </c>
      <c r="B44" s="7" t="s">
        <v>183</v>
      </c>
      <c r="C44" s="6" t="s">
        <v>184</v>
      </c>
      <c r="D44" s="6" t="s">
        <v>185</v>
      </c>
      <c r="E44" s="3">
        <v>2</v>
      </c>
      <c r="F44" s="4">
        <v>900</v>
      </c>
      <c r="G44" s="4">
        <f t="shared" si="1"/>
        <v>1800</v>
      </c>
      <c r="H44" s="9" t="s">
        <v>186</v>
      </c>
    </row>
    <row r="45" spans="1:16">
      <c r="A45" s="6" t="s">
        <v>187</v>
      </c>
      <c r="B45" s="7" t="s">
        <v>188</v>
      </c>
      <c r="C45" s="6" t="s">
        <v>189</v>
      </c>
      <c r="D45" s="6" t="s">
        <v>190</v>
      </c>
      <c r="E45" s="3">
        <v>3</v>
      </c>
      <c r="F45" s="4">
        <v>200</v>
      </c>
      <c r="G45" s="4">
        <f t="shared" si="1"/>
        <v>600</v>
      </c>
      <c r="H45" s="9" t="s">
        <v>191</v>
      </c>
      <c r="I45" s="10"/>
      <c r="J45" s="10"/>
      <c r="K45" s="10"/>
      <c r="L45" s="10"/>
      <c r="M45" s="10"/>
      <c r="N45" s="10"/>
      <c r="O45" s="10"/>
      <c r="P45" s="10"/>
    </row>
    <row r="46" spans="1:16">
      <c r="A46" s="6" t="s">
        <v>192</v>
      </c>
      <c r="B46" s="7" t="s">
        <v>192</v>
      </c>
      <c r="C46" s="6" t="s">
        <v>193</v>
      </c>
      <c r="D46" s="6" t="s">
        <v>194</v>
      </c>
      <c r="E46" s="3">
        <v>3</v>
      </c>
      <c r="F46" s="4">
        <v>500</v>
      </c>
      <c r="G46" s="4">
        <f t="shared" si="1"/>
        <v>1500</v>
      </c>
      <c r="H46" s="8" t="s">
        <v>195</v>
      </c>
    </row>
    <row r="47" spans="1:16">
      <c r="A47" s="6" t="s">
        <v>196</v>
      </c>
      <c r="B47" s="7" t="s">
        <v>197</v>
      </c>
      <c r="C47" s="6" t="s">
        <v>198</v>
      </c>
      <c r="D47" s="6" t="s">
        <v>127</v>
      </c>
      <c r="E47" s="3">
        <v>1</v>
      </c>
      <c r="F47" s="4">
        <v>13000</v>
      </c>
      <c r="G47" s="4">
        <f t="shared" si="1"/>
        <v>13000</v>
      </c>
      <c r="H47" s="8" t="s">
        <v>199</v>
      </c>
    </row>
    <row r="48" spans="1:16">
      <c r="A48" s="6" t="s">
        <v>200</v>
      </c>
      <c r="B48" s="7" t="s">
        <v>200</v>
      </c>
      <c r="C48" s="6" t="s">
        <v>201</v>
      </c>
      <c r="D48" s="6" t="s">
        <v>202</v>
      </c>
      <c r="E48" s="3">
        <v>1</v>
      </c>
      <c r="F48" s="4">
        <v>1000</v>
      </c>
      <c r="G48" s="4">
        <f t="shared" si="1"/>
        <v>1000</v>
      </c>
      <c r="H48" s="9" t="s">
        <v>203</v>
      </c>
    </row>
    <row r="49" spans="1:8">
      <c r="A49" s="6" t="s">
        <v>204</v>
      </c>
      <c r="B49" s="7" t="s">
        <v>205</v>
      </c>
      <c r="C49" s="6" t="s">
        <v>206</v>
      </c>
      <c r="D49" s="6" t="s">
        <v>202</v>
      </c>
      <c r="E49" s="3">
        <v>2</v>
      </c>
      <c r="F49" s="4">
        <v>800</v>
      </c>
      <c r="G49" s="4">
        <f t="shared" si="1"/>
        <v>1600</v>
      </c>
      <c r="H49" s="8" t="s">
        <v>207</v>
      </c>
    </row>
    <row r="50" spans="1:8">
      <c r="A50" s="6" t="s">
        <v>208</v>
      </c>
      <c r="B50" s="7" t="s">
        <v>208</v>
      </c>
      <c r="C50" s="6" t="s">
        <v>209</v>
      </c>
      <c r="D50" s="6" t="s">
        <v>180</v>
      </c>
      <c r="E50" s="3">
        <v>1</v>
      </c>
      <c r="F50" s="4">
        <v>47700</v>
      </c>
      <c r="G50" s="4">
        <f t="shared" si="1"/>
        <v>47700</v>
      </c>
      <c r="H50" s="8" t="s">
        <v>210</v>
      </c>
    </row>
    <row r="51" spans="1:8">
      <c r="A51" s="6" t="s">
        <v>211</v>
      </c>
      <c r="B51" s="7" t="s">
        <v>212</v>
      </c>
      <c r="C51" s="6" t="s">
        <v>213</v>
      </c>
      <c r="D51" s="6" t="s">
        <v>214</v>
      </c>
      <c r="E51" s="3">
        <v>1</v>
      </c>
      <c r="F51" s="4">
        <v>7000</v>
      </c>
      <c r="G51" s="4">
        <f t="shared" si="1"/>
        <v>7000</v>
      </c>
      <c r="H51" s="8" t="s">
        <v>215</v>
      </c>
    </row>
    <row r="52" spans="1:8">
      <c r="A52" s="6" t="s">
        <v>216</v>
      </c>
      <c r="B52" s="7" t="s">
        <v>217</v>
      </c>
      <c r="C52" s="6" t="s">
        <v>218</v>
      </c>
      <c r="D52" s="6" t="s">
        <v>219</v>
      </c>
      <c r="E52" s="3">
        <v>1</v>
      </c>
      <c r="F52" s="4">
        <v>190</v>
      </c>
      <c r="G52" s="4">
        <f t="shared" si="1"/>
        <v>190</v>
      </c>
      <c r="H52" s="8" t="s">
        <v>220</v>
      </c>
    </row>
    <row r="53" spans="1:8">
      <c r="A53" s="6" t="s">
        <v>221</v>
      </c>
      <c r="B53" s="7" t="s">
        <v>222</v>
      </c>
      <c r="C53" s="6" t="s">
        <v>223</v>
      </c>
      <c r="D53" s="6" t="s">
        <v>224</v>
      </c>
      <c r="E53" s="3">
        <v>1</v>
      </c>
      <c r="F53" s="4">
        <v>1600</v>
      </c>
      <c r="G53" s="4">
        <f t="shared" si="1"/>
        <v>1600</v>
      </c>
      <c r="H53" s="9" t="s">
        <v>225</v>
      </c>
    </row>
    <row r="54" spans="1:8">
      <c r="A54" s="6" t="s">
        <v>226</v>
      </c>
      <c r="B54" s="7" t="s">
        <v>226</v>
      </c>
      <c r="C54" s="6" t="s">
        <v>227</v>
      </c>
      <c r="D54" s="6" t="s">
        <v>228</v>
      </c>
      <c r="E54" s="3">
        <v>1</v>
      </c>
      <c r="F54" s="4">
        <v>2800</v>
      </c>
      <c r="G54" s="4">
        <f t="shared" si="1"/>
        <v>2800</v>
      </c>
      <c r="H54" s="8" t="s">
        <v>229</v>
      </c>
    </row>
    <row r="55" spans="1:8">
      <c r="A55" s="6" t="s">
        <v>230</v>
      </c>
      <c r="B55" s="7" t="s">
        <v>231</v>
      </c>
      <c r="C55" s="6" t="s">
        <v>232</v>
      </c>
      <c r="D55" s="6" t="s">
        <v>233</v>
      </c>
      <c r="E55" s="3">
        <v>1</v>
      </c>
      <c r="F55" s="4">
        <v>7000</v>
      </c>
      <c r="G55" s="4">
        <f t="shared" si="1"/>
        <v>7000</v>
      </c>
      <c r="H55" s="9" t="s">
        <v>234</v>
      </c>
    </row>
    <row r="56" spans="1:8">
      <c r="A56" s="2" t="s">
        <v>235</v>
      </c>
      <c r="E56" s="3">
        <v>1</v>
      </c>
      <c r="F56" s="4">
        <v>178000</v>
      </c>
      <c r="G56" s="4">
        <v>178000</v>
      </c>
      <c r="H56" s="11" t="s">
        <v>236</v>
      </c>
    </row>
    <row r="57" spans="1:8">
      <c r="A57" s="2" t="s">
        <v>237</v>
      </c>
      <c r="E57" s="3">
        <v>1</v>
      </c>
      <c r="F57" s="4">
        <v>50000</v>
      </c>
      <c r="G57" s="4">
        <v>50000</v>
      </c>
    </row>
    <row r="58" spans="1:8">
      <c r="A58" s="12" t="s">
        <v>238</v>
      </c>
      <c r="B58" s="13"/>
      <c r="C58" s="13"/>
      <c r="D58" s="13"/>
      <c r="E58" s="13"/>
      <c r="F58" s="14"/>
      <c r="G58" s="15">
        <f>SUM(G2:G57)</f>
        <v>599110</v>
      </c>
      <c r="H58" s="16" t="s">
        <v>239</v>
      </c>
    </row>
    <row r="63" spans="1:8">
      <c r="G63" s="2"/>
    </row>
    <row r="70" spans="7:7">
      <c r="G70" s="17"/>
    </row>
  </sheetData>
  <mergeCells count="1">
    <mergeCell ref="A58:F58"/>
  </mergeCells>
  <hyperlinks>
    <hyperlink ref="H55" r:id="rId1" display="https://www.lcsc.com/product-detail/C53373776.html?s_z=n_q_x_XT30PW-M&amp;spm=wm.ssy.em.0.tz&amp;lcsc_vid=QVdWXlNWEgRZUwZWQwdYBgJeR1BaVAAFQwVfUFNXTlAxVlNeQFheU1BfTlVdUDsOAxUeFF5JWBYZEEoKFBINSQcJGk4eFQsCAgIaSg0LFgYLSCdURVJXUVJfRE8GEwkK" tooltip="https://www.lcsc.com/product-detail/C53373776.html?s_z=n_q_x_XT30PW-M&amp;spm=wm.ssy.em.0.tz&amp;lcsc_vid=QVdWXlNWEgRZUwZWQwdYBgJeR1BaVAAFQwVfUFNXTlAxVlNeQFheU1BfTlVdUDsOAxUeFF5JWBYZEEoKFBINSQcJGk4eFQsCAgIaSg0LFgYLSCdURVJXUVJfRE8GEwkK"/>
    <hyperlink ref="H39" r:id="rId2" display="https://www.lcsc.com/product-detail/C1346461.html?s_z=n_q_INA240A2&amp;spm=wm.fly.bg.1.xh&amp;lcsc_vid=QVdWXlNWEgRZUwZWQwdYBgJeR1BaVAAFQwVfUFNXTlAxVlNeQFheU1NSQVleUzsOAxUeFF5JWBYZEEoKFBINSQcJGk4eFQsCAgIaSgADAwAHC0slTlJXUVFIHxUDCw%3D%3D" tooltip="https://www.lcsc.com/product-detail/C1346461.html?s_z=n_q_INA240A2&amp;spm=wm.fly.bg.1.xh&amp;lcsc_vid=QVdWXlNWEgRZUwZWQwdYBgJeR1BaVAAFQwVfUFNXTlAxVlNeQFheU1NSQVleUzsOAxUeFF5JWBYZEEoKFBINSQcJGk4eFQsCAgIaSgADAwAHC0slTlJXUVFIHxUDCw%3D%3D"/>
    <hyperlink ref="H12" r:id="rId3" display="https://linhkien.cxtvn.com/2289-dien-tro-33k-0603-1-100c.html" tooltip="https://linhkien.cxtvn.com/2289-dien-tro-33k-0603-1-100c.html"/>
    <hyperlink ref="H2" r:id="rId4" display="https://linhkien.cxtvn.com/3667-dien-tro-0r-1206-1-100c.html" tooltip="https://linhkien.cxtvn.com/3667-dien-tro-0r-1206-1-100c.html"/>
    <hyperlink ref="H3" r:id="rId5" display="https://linhkien.cxtvn.com/1976-tu-khong-phan-cuc-0805.html" tooltip="https://linhkien.cxtvn.com/1976-tu-khong-phan-cuc-0805.html"/>
    <hyperlink ref="H4" r:id="rId6" display="https://linhkien.cxtvn.com/2513-tu-0603-khong-phan-cuc.html" tooltip="https://linhkien.cxtvn.com/2513-tu-0603-khong-phan-cuc.html"/>
    <hyperlink ref="H5" r:id="rId5" display="https://linhkien.cxtvn.com/1976-tu-khong-phan-cuc-0805.html" tooltip="https://linhkien.cxtvn.com/1976-tu-khong-phan-cuc-0805.html"/>
    <hyperlink ref="H6" r:id="rId7" display="https://linhkien.cxtvn.com/9904-cuon-cam-0630-cac-gia-tri.html" tooltip="https://linhkien.cxtvn.com/9904-cuon-cam-0630-cac-gia-tri.html"/>
    <hyperlink ref="H7" r:id="rId5" display="https://linhkien.cxtvn.com/1976-tu-khong-phan-cuc-0805.html" tooltip="https://linhkien.cxtvn.com/1976-tu-khong-phan-cuc-0805.html"/>
    <hyperlink ref="H8" r:id="rId8" display="https://linhkien.cxtvn.com/4430-tu-tantalum-3528-cac-gia-tri.html"/>
    <hyperlink ref="H9" r:id="rId5" display="https://linhkien.cxtvn.com/1976-tu-khong-phan-cuc-0805.html"/>
    <hyperlink ref="H10" r:id="rId9" display="https://linhkien.cxtvn.com/3033-tu-nhom-100uf-50v-8x105-5c.html"/>
    <hyperlink ref="H11" r:id="rId10" display="https://linhkien.cxtvn.com/1424-dien-tro-1k-0603-1-100c.html"/>
    <hyperlink ref="H13" r:id="rId11" display="https://linhkien.cxtvn.com/2398-dien-tro-47k-0603-1-100c.html"/>
    <hyperlink ref="H14" r:id="rId12" display="https://linhkien.cxtvn.com/2291-dien-tro-51k-0603-1-100c.html"/>
    <hyperlink ref="H15" r:id="rId13" display="https://linhkien.cxtvn.com/1422-dien-tro-10k-0603-1-100c.html"/>
    <hyperlink ref="H16" r:id="rId13" display="https://linhkien.cxtvn.com/1422-dien-tro-10k-0603-1-100c.html"/>
    <hyperlink ref="H17" r:id="rId14" display="https://linhkien.cxtvn.com/4536-dien-tro-12k-0603-1-100c.html"/>
    <hyperlink ref="H21" r:id="rId15" display="https://linhkien.cxtvn.com/2395-dien-tro-499r-0603-1-100c.html"/>
    <hyperlink ref="H22" r:id="rId16" display="https://linhkien.cxtvn.com/2304-dien-tro-68k-0603-1-100c.html"/>
    <hyperlink ref="H23" r:id="rId17" display="https://linhkien.cxtvn.com/3447-dien-tro-120r-0603-1-100c.html"/>
    <hyperlink ref="H25" r:id="rId18" display="https://linhkien.cxtvn.com/1981-tu-0603-khong-phan-cuc.html"/>
    <hyperlink ref="H26" r:id="rId19" display="https://linhkien.cxtvn.com/6736-0603b104k500nt-tu-100nf-50v-10-0603-20c.html"/>
    <hyperlink ref="H27" r:id="rId20" display="https://linhkien.cxtvn.com/2886-tu-106-10uf-0603-50v-10-20c.html"/>
    <hyperlink ref="H28" r:id="rId21" display="https://linhkien.cxtvn.com/1982-tu-105-1uf-0603-50v-10-20c.html"/>
    <hyperlink ref="H29" r:id="rId22" display="https://linhkien.cxtvn.com/3565-d882-2sd882-npn-transistor-15a-40v-sot-89-10c.html"/>
    <hyperlink ref="H30" r:id="rId23" display="https://linhkien.cxtvn.com/3426-tu-330-33pf-0603-50v-20c.html"/>
    <hyperlink ref="H31" r:id="rId24" display="https://linhkien.cxtvn.com/5979-bc817-40-transistor-npn-45v-05a-sot23-10c.html"/>
    <hyperlink ref="H32" r:id="rId25" display="https://linhkien.cxtvn.com/4690-ch340c-ic-transceiver-2mbps-usb20-sop-16.html"/>
    <hyperlink ref="H33" r:id="rId26" display="https://linhkien.cxtvn.com/3486-cau-dau-15edg381-381mm-xanh-cong-mau-nhat.html"/>
    <hyperlink ref="H35" r:id="rId27" display="https://linhkien.cxtvn.com/3878-header-duc-xh254-6p-chan-cong-10c.html"/>
    <hyperlink ref="H36" r:id="rId28" display="https://linhkien.cxtvn.com/10278-b3u-1000p-nut-nhan-smd-2p-3x25x16mm.html"/>
    <hyperlink ref="H37" r:id="rId29" display="https://www.lcsc.com/product-detail/C20345391.html?s_z=n_q_ESD2CANFD24&amp;spm=wm.fly.bg.1.xh&amp;lcsc_vid=RlJfAwBQQlhYVVFTFlNbXlcHFgJZBQdRTgRYAlJVQ1kxVlNeQVhdUF1VTlJfVzsOAxUeFF5JWBYZEEoKFBINSQcJGk4eFQsCAgIaSgADAwAHC0slQlRcU1xQWQkaCgg%3D"/>
    <hyperlink ref="H38" r:id="rId30" display="https://linhkien.cxtvn.com/9356-esp32-wroom-32ue-n16-rf-txrx-module-wifi-ufl-smd.html" tooltip="https://linhkien.cxtvn.com/9356-esp32-wroom-32ue-n16-rf-txrx-module-wifi-ufl-smd.html"/>
    <hyperlink ref="H40" r:id="rId31" display="https://linhkien.cxtvn.com/4216-led-0603-cac-mau.html" tooltip="https://linhkien.cxtvn.com/4216-led-0603-cac-mau.html"/>
    <hyperlink ref="H41" r:id="rId32" display="https://linhkien.cxtvn.com/5731-ltv-356t-c-optoisolator-375kv-trans-4-sop.html" tooltip="https://linhkien.cxtvn.com/5731-ltv-356t-c-optoisolator-375kv-trans-4-sop.html"/>
    <hyperlink ref="H42" r:id="rId33" display="https://banlinhkiendientu.vn/lv14340ddar-14340-ic-nguon-sop8/"/>
    <hyperlink ref="H43" r:id="rId34" display="https://linhkien.cxtvn.com/2485-max3485esa-ic-transceiver-half-11-8soic.html" tooltip="https://linhkien.cxtvn.com/2485-max3485esa-ic-transceiver-half-11-8soic.html"/>
    <hyperlink ref="H44" r:id="rId35" display="https://linhkien.cxtvn.com/4310-cau-chi-tu-phuc-hoi-pptc-smd1206.html" tooltip="https://linhkien.cxtvn.com/4310-cau-chi-tu-phuc-hoi-pptc-smd1206.html"/>
    <hyperlink ref="H46" r:id="rId36" display="https://linhkien.cxtvn.com/9278-rs1m-fr107-f7-diode-xung-1a-1000v-sod123-10c.html"/>
    <hyperlink ref="H47" r:id="rId37" display="https://linhkien.cxtvn.com/6062-sm712-02htg-tvs-diode-12v-31v-sot23-3.html"/>
    <hyperlink ref="H48" r:id="rId38" display="https://linhkien.cxtvn.com/2361-smaj36ca-tvs-diode-36v-581v-smado214ac-5c.html" tooltip="https://linhkien.cxtvn.com/2361-smaj36ca-tvs-diode-36v-581v-smado214ac-5c.html"/>
    <hyperlink ref="H49" r:id="rId39" display="https://linhkien.cxtvn.com/1128-diode-ss34-sma-3a-40v-do-214ac.html"/>
    <hyperlink ref="H50" r:id="rId40" display="https://www.lcsc.com/product-image/C22396693.html?whichImg=0&amp;spm=wm.sxq.inf.0.ltp&amp;lcsc_vid=FgQKUwVTEwAMAV1fQVNYUVEHTlZYXlFWT1EKVlNXQVIxVlNRQVRbUVxWR1dcVjtW"/>
    <hyperlink ref="H51" r:id="rId41" display="https://linhkien.cxtvn.com/10200-tlv1117lv33dcyr-ic-reg-lin-33v-1a-sot223-4.html/page-6"/>
    <hyperlink ref="H52" r:id="rId42" display="https://linhkien.cxtvn.com/3053-header-duc-xh254-chan-cong.html"/>
    <hyperlink ref="H53" r:id="rId43" display="https://linhkien.cxtvn.com/6914-cong-type-c-cai-16p-usb-31-v25c.html" tooltip="https://linhkien.cxtvn.com/6914-cong-type-c-cai-16p-usb-31-v25c.html"/>
    <hyperlink ref="H45" r:id="rId44" display="https://linhkien.cxtvn.com/7411-pesd5z33-tvs-diode-33vwm-18vc-sod523-10c.html" tooltip="https://linhkien.cxtvn.com/7411-pesd5z33-tvs-diode-33vwm-18vc-sod523-10c.html"/>
    <hyperlink ref="H34" r:id="rId26" display="https://linhkien.cxtvn.com/3486-cau-dau-15edg381-381mm-xanh-cong-mau-nhat.html"/>
    <hyperlink ref="H54" r:id="rId45" display="https://linhkien.cxtvn.com/6071-usblc6-2sc6-tvs-diode-525v-17v-sot23-62c.html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Materials-MS_Elentec_V2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phuc lê</cp:lastModifiedBy>
  <dcterms:created xsi:type="dcterms:W3CDTF">2026-08-04T03:46:00Z</dcterms:created>
  <dcterms:modified xsi:type="dcterms:W3CDTF">2026-08-28T10:59:06Z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696BEE213CE34DD19C50E15337E8DF3F_13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