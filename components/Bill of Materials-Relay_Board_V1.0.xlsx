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450"/>
  </bookViews>
  <sheets>
    <sheet name="Bill of Materials-MS_Elentec_V2" sheetId="1" r:id="rId1"/>
  </sheets>
  <definedNames>
    <definedName name="_xlnm.Print_Titles" localSheetId="0">'Bill of Materials-MS_Elentec_V2'!$1:$1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<sst xmlns="http://schemas.openxmlformats.org/spreadsheetml/2006/main" count="81" uniqueCount="74">
  <si>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Comment</t>
  </si>
  <si>
    <t>Manufacturer Part Number</t>
  </si>
  <si>
    <t>Designator</t>
  </si>
  <si>
    <t>LibRef</t>
  </si>
  <si>
    <t>Quantity</t>
  </si>
  <si>
    <t>Price/1PCS</t>
  </si>
  <si>
    <t>Price/1Board</t>
  </si>
  <si>
    <t>Component Link/URL</t>
  </si>
  <si>
    <t>1R</t>
  </si>
  <si>
    <t>RC0603FR-071RL</t>
  </si>
  <si>
    <t>R13, R14, R15, R16, R17 ,R18</t>
  </si>
  <si>
    <t>R_0603_1608Metric</t>
  </si>
  <si>
    <t>https://linhkien.cxtvn.com/5753-dien-tro-1r-0603-1-100c.html</t>
  </si>
  <si>
    <t>1kR</t>
  </si>
  <si>
    <t>RC0805DR-071KL</t>
  </si>
  <si>
    <t>R83</t>
  </si>
  <si>
    <t>R_0805_2012Metric</t>
  </si>
  <si>
    <t>https://linhkien.cxtvn.com/9913-dien-tro-1k-0805-05-18w-20c.html</t>
  </si>
  <si>
    <t>2mR</t>
  </si>
  <si>
    <t>FPM253WFR002TML</t>
  </si>
  <si>
    <t>R1, R2, R3</t>
  </si>
  <si>
    <t>R_Shunt_FOJAN_2512L_4Terminal_Kelvin_C</t>
  </si>
  <si>
    <t>https://www.lcsc.com/product-detail/C7420017.html?s_z=n_q_C7420017&amp;globalKeyword=C7420017</t>
  </si>
  <si>
    <t>3.3kR</t>
  </si>
  <si>
    <t>RC0805FR-073K3L</t>
  </si>
  <si>
    <t>R84</t>
  </si>
  <si>
    <t>https://linhkien.cxtvn.com/4177-dien-tro-33k-0805-1-100c.html</t>
  </si>
  <si>
    <t>10kR</t>
  </si>
  <si>
    <t>RT0805BRD0710KL</t>
  </si>
  <si>
    <t>R85</t>
  </si>
  <si>
    <t>https://linhkien.cxtvn.com/8792-dien-tro-10k-0805-01-10c.html</t>
  </si>
  <si>
    <t>100nF-50V</t>
  </si>
  <si>
    <t>CC0805KRX7R9BB104</t>
  </si>
  <si>
    <t>C2</t>
  </si>
  <si>
    <t>C_0805_2012Metric</t>
  </si>
  <si>
    <t>https://linhkien.cxtvn.com/1976-tu-104-100nf-0805-50v-10-50c.html</t>
  </si>
  <si>
    <t>680uf-35v</t>
  </si>
  <si>
    <t>35TLV680M12.5X13.5</t>
  </si>
  <si>
    <t>C3</t>
  </si>
  <si>
    <t>CP_Elec_12.5x13.5_Generic_H13</t>
  </si>
  <si>
    <t>https://linhkien.cxtvn.com/3037-tu-nhom-680uf-35v-125x135mm.html</t>
  </si>
  <si>
    <t>Conn_01x06</t>
  </si>
  <si>
    <t>S6B-XH-A(LF)(SN)</t>
  </si>
  <si>
    <t>J6</t>
  </si>
  <si>
    <t>JST_XH_S6B-XH-A_1x06_P2.50mm_Horizontal</t>
  </si>
  <si>
    <t>https://linhkien.cxtvn.com/3878-header-duc-xh254-6p-chan-cong-10c.html</t>
  </si>
  <si>
    <t>HF116F-80/24-1HTF</t>
  </si>
  <si>
    <t>U8</t>
  </si>
  <si>
    <t>RELAY-TH_HF116F-80-XX-1HTF</t>
  </si>
  <si>
    <t>https://www.lcsc.com/product-detail/C5322130.html?s_z=n_q_HF116F-80%252F24-1HTF&amp;spm=wm.fly.bg.0.xh&amp;lcsc_vid=RAULBVRUQFdbAgdSFVdZAl1VQlMLVgBUQwBZUlMDRlIxVlNeQVdZXlBVQ1NWVDsOAxUeFF5JWBYZEEoKFBINSQcJGk4%3D</t>
  </si>
  <si>
    <t>LTV-356T</t>
  </si>
  <si>
    <t>LTV-356T-C</t>
  </si>
  <si>
    <t>U13</t>
  </si>
  <si>
    <t>SO-4_4.4x3.6mm_P2.54mm</t>
  </si>
  <si>
    <t>https://linhkien.cxtvn.com/5731-ltv-356t-c-optoisolator-375kv-trans-4-sop.html</t>
  </si>
  <si>
    <t>MJD41CT4G</t>
  </si>
  <si>
    <t>Q7</t>
  </si>
  <si>
    <t>TO-252-2</t>
  </si>
  <si>
    <t>https://linhkien.cxtvn.com/2737-mjd41c-tip41c-npn-transistor-100v-6a-to-252-2.html</t>
  </si>
  <si>
    <t>US1M</t>
  </si>
  <si>
    <t>US1M-13-F</t>
  </si>
  <si>
    <t>D7</t>
  </si>
  <si>
    <t>DO-214AC</t>
  </si>
  <si>
    <t>https://linhkien.cxtvn.com/9736-her107-us1m-diode-1a-1000v-smado-214ac-10c.html</t>
  </si>
  <si>
    <t>XT60PW-M</t>
  </si>
  <si>
    <t>J5,J7</t>
  </si>
  <si>
    <t>AMASS_XT60PW-M</t>
  </si>
  <si>
    <t>https://dientutuyetnga.com/products/xt60pw-m-dau-jack-noi-dien-xt60-duc</t>
  </si>
  <si>
    <t>Stencil</t>
  </si>
  <si>
    <t>Buy only once</t>
  </si>
  <si>
    <t>PCB (ESTIMATED)</t>
  </si>
  <si>
    <t>TOTAL</t>
  </si>
  <si>
    <t>The price above does not include shipping fees and customs fees, if any.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</si>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</sst>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u/>
      <sz val="11"/>
      <color theme="10"/>
      <name val="Times New Roman"/>
      <charset val="134"/>
    </font>
    <font>
      <u/>
      <sz val="11"/>
      <color rgb="FF800080"/>
      <name val="Times New Roman"/>
      <charset val="134"/>
    </font>
    <font>
      <u/>
      <sz val="11"/>
      <color rgb="FF800080"/>
      <name val="Times New Roman"/>
      <charset val="0"/>
    </font>
    <font>
      <sz val="11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Fill="1" applyBorder="1" applyAlignment="1">
      <alignment vertical="center"/>
    </xf>
    <xf numFmtId="0" fontId="3" fillId="0" borderId="1" xfId="6" applyFont="1" applyFill="1" applyBorder="1" applyAlignment="1">
      <alignment vertical="center"/>
    </xf>
    <xf numFmtId="0" fontId="4" fillId="0" borderId="1" xfId="6" applyFont="1" applyFill="1" applyBorder="1" applyAlignment="1">
      <alignment vertical="center"/>
    </xf>
    <xf numFmtId="0" fontId="5" fillId="0" borderId="1" xfId="6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7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/>
    <xf numFmtId="0" fontId="6" fillId="0" borderId="1" xfId="0" applyFont="1" applyFill="1" applyBorder="1" applyAlignment="1"/>
    <xf numFmtId="0" fontId="3" fillId="0" borderId="1" xfId="6" applyFont="1" applyBorder="1"/>
    <xf numFmtId="0" fontId="3" fillId="0" borderId="1" xfId="0" applyFont="1" applyBorder="1"/>
    <xf numFmtId="0" fontId="3" fillId="0" borderId="1" xfId="6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3" fontId="8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.cxtvn.com/2737-mjd41c-tip41c-npn-transistor-100v-6a-to-252-2.html" TargetMode="External"/><Relationship Id="rId8" Type="http://schemas.openxmlformats.org/officeDocument/2006/relationships/hyperlink" Target="https://linhkien.cxtvn.com/5731-ltv-356t-c-optoisolator-375kv-trans-4-sop.html" TargetMode="External"/><Relationship Id="rId7" Type="http://schemas.openxmlformats.org/officeDocument/2006/relationships/hyperlink" Target="https://linhkien.cxtvn.com/3878-header-duc-xh254-6p-chan-cong-10c.html" TargetMode="External"/><Relationship Id="rId6" Type="http://schemas.openxmlformats.org/officeDocument/2006/relationships/hyperlink" Target="https://linhkien.cxtvn.com/1976-tu-104-100nf-0805-50v-10-50c.html" TargetMode="External"/><Relationship Id="rId5" Type="http://schemas.openxmlformats.org/officeDocument/2006/relationships/hyperlink" Target="https://linhkien.cxtvn.com/8792-dien-tro-10k-0805-01-10c.html" TargetMode="External"/><Relationship Id="rId4" Type="http://schemas.openxmlformats.org/officeDocument/2006/relationships/hyperlink" Target="https://linhkien.cxtvn.com/4177-dien-tro-33k-0805-1-100c.html" TargetMode="External"/><Relationship Id="rId3" Type="http://schemas.openxmlformats.org/officeDocument/2006/relationships/hyperlink" Target="https://www.lcsc.com/product-detail/C7420017.html?s_z=n_q_C7420017&amp;globalKeyword=C7420017" TargetMode="External"/><Relationship Id="rId2" Type="http://schemas.openxmlformats.org/officeDocument/2006/relationships/hyperlink" Target="https://linhkien.cxtvn.com/9913-dien-tro-1k-0805-05-18w-20c.html" TargetMode="External"/><Relationship Id="rId12" Type="http://schemas.openxmlformats.org/officeDocument/2006/relationships/hyperlink" Target="https://linhkien.cxtvn.com/3037-tu-nhom-680uf-35v-125x135mm.html" TargetMode="External"/><Relationship Id="rId11" Type="http://schemas.openxmlformats.org/officeDocument/2006/relationships/hyperlink" Target="https://dientutuyetnga.com/products/xt60pw-m-dau-jack-noi-dien-xt60-duc" TargetMode="External"/><Relationship Id="rId10" Type="http://schemas.openxmlformats.org/officeDocument/2006/relationships/hyperlink" Target="https://linhkien.cxtvn.com/9736-her107-us1m-diode-1a-1000v-smado-214ac-10c.html" TargetMode="External"/><Relationship Id="rId1" Type="http://schemas.openxmlformats.org/officeDocument/2006/relationships/hyperlink" Target="https://www.lcsc.com/product-detail/C5322130.html?s_z=n_q_HF116F-80%252F24-1HTF&amp;spm=wm.fly.bg.0.xh&amp;lcsc_vid=RAULBVRUQFdbAgdSFVdZAl1VQlMLVgBUQwBZUlMDRlIxVlNeQVdZXlBVQ1NWVDsOAxUeFF5JWBYZEEoKFBINSQcJGk4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workbookViewId="0">
      <selection activeCell="G31" sqref="G31"/>
    </sheetView>
  </sheetViews>
  <sheetFormatPr defaultColWidth="9" defaultRowHeight="15"/>
  <cols>
    <col min="1" max="1" width="17" style="2" customWidth="1"/>
    <col min="2" max="2" width="24.625" style="2" customWidth="1"/>
    <col min="3" max="3" width="25" style="2" customWidth="1"/>
    <col min="4" max="4" width="40.875" style="2" customWidth="1"/>
    <col min="5" max="5" width="13.125" style="3" customWidth="1"/>
    <col min="6" max="6" width="12.625" style="4" customWidth="1"/>
    <col min="7" max="7" width="16.5666666666667" style="4" customWidth="1"/>
    <col min="8" max="8" width="76.875" style="2" customWidth="1"/>
    <col min="9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</row>
    <row r="2" spans="1:16">
      <c r="A2" s="2" t="s">
        <v>8</v>
      </c>
      <c r="B2" s="6" t="s">
        <v>9</v>
      </c>
      <c r="C2" s="7" t="s">
        <v>10</v>
      </c>
      <c r="D2" s="7" t="s">
        <v>11</v>
      </c>
      <c r="E2" s="3">
        <v>6</v>
      </c>
      <c r="F2" s="4">
        <v>36</v>
      </c>
      <c r="G2" s="4">
        <f>PRODUCT(E2:F2)</f>
        <v>216</v>
      </c>
      <c r="H2" s="7" t="s">
        <v>12</v>
      </c>
    </row>
    <row r="3" spans="1:16">
      <c r="A3" s="7" t="s">
        <v>13</v>
      </c>
      <c r="B3" s="6" t="s">
        <v>14</v>
      </c>
      <c r="C3" s="7" t="s">
        <v>15</v>
      </c>
      <c r="D3" s="7" t="s">
        <v>16</v>
      </c>
      <c r="E3" s="3">
        <v>1</v>
      </c>
      <c r="F3" s="4">
        <v>280</v>
      </c>
      <c r="G3" s="4">
        <f>PRODUCT(E3:F3)</f>
        <v>280</v>
      </c>
      <c r="H3" s="8" t="s">
        <v>17</v>
      </c>
    </row>
    <row r="4" spans="1:16">
      <c r="A4" s="7" t="s">
        <v>18</v>
      </c>
      <c r="B4" s="6" t="s">
        <v>19</v>
      </c>
      <c r="C4" s="7" t="s">
        <v>20</v>
      </c>
      <c r="D4" s="7" t="s">
        <v>21</v>
      </c>
      <c r="E4" s="3">
        <v>3</v>
      </c>
      <c r="F4" s="4">
        <v>1600</v>
      </c>
      <c r="G4" s="4">
        <f t="shared" ref="G4:G14" si="0">PRODUCT(E4:F4)</f>
        <v>4800</v>
      </c>
      <c r="H4" s="8" t="s">
        <v>22</v>
      </c>
    </row>
    <row r="5" spans="1:16">
      <c r="A5" s="7" t="s">
        <v>23</v>
      </c>
      <c r="B5" s="6" t="s">
        <v>24</v>
      </c>
      <c r="C5" s="7" t="s">
        <v>25</v>
      </c>
      <c r="D5" s="7" t="s">
        <v>16</v>
      </c>
      <c r="E5" s="3">
        <v>1</v>
      </c>
      <c r="F5" s="4">
        <v>46</v>
      </c>
      <c r="G5" s="4">
        <f t="shared" si="0"/>
        <v>46</v>
      </c>
      <c r="H5" s="9" t="s">
        <v>26</v>
      </c>
    </row>
    <row r="6" spans="1:16">
      <c r="A6" s="7" t="s">
        <v>27</v>
      </c>
      <c r="B6" s="6" t="s">
        <v>28</v>
      </c>
      <c r="C6" s="7" t="s">
        <v>29</v>
      </c>
      <c r="D6" s="7" t="s">
        <v>16</v>
      </c>
      <c r="E6" s="3">
        <v>1</v>
      </c>
      <c r="F6" s="4">
        <v>450</v>
      </c>
      <c r="G6" s="4">
        <f t="shared" si="0"/>
        <v>450</v>
      </c>
      <c r="H6" s="8" t="s">
        <v>30</v>
      </c>
    </row>
    <row r="7" spans="1:16">
      <c r="A7" s="7" t="s">
        <v>31</v>
      </c>
      <c r="B7" s="6" t="s">
        <v>32</v>
      </c>
      <c r="C7" s="7" t="s">
        <v>33</v>
      </c>
      <c r="D7" s="7" t="s">
        <v>34</v>
      </c>
      <c r="E7" s="3">
        <v>1</v>
      </c>
      <c r="F7" s="4">
        <v>180</v>
      </c>
      <c r="G7" s="4">
        <f t="shared" si="0"/>
        <v>180</v>
      </c>
      <c r="H7" s="9" t="s">
        <v>35</v>
      </c>
    </row>
    <row r="8" spans="1:16">
      <c r="A8" s="7" t="s">
        <v>36</v>
      </c>
      <c r="B8" s="6" t="s">
        <v>37</v>
      </c>
      <c r="C8" s="7" t="s">
        <v>38</v>
      </c>
      <c r="D8" s="7" t="s">
        <v>39</v>
      </c>
      <c r="E8" s="3">
        <v>1</v>
      </c>
      <c r="F8" s="4">
        <v>4600</v>
      </c>
      <c r="G8" s="4">
        <f t="shared" si="0"/>
        <v>4600</v>
      </c>
      <c r="H8" s="8" t="s">
        <v>40</v>
      </c>
    </row>
    <row r="9" spans="1:16">
      <c r="A9" s="7" t="s">
        <v>41</v>
      </c>
      <c r="B9" s="6" t="s">
        <v>42</v>
      </c>
      <c r="C9" s="7" t="s">
        <v>43</v>
      </c>
      <c r="D9" s="7" t="s">
        <v>44</v>
      </c>
      <c r="E9" s="3">
        <v>1</v>
      </c>
      <c r="F9" s="4">
        <v>560</v>
      </c>
      <c r="G9" s="4">
        <f t="shared" si="0"/>
        <v>560</v>
      </c>
      <c r="H9" s="8" t="s">
        <v>45</v>
      </c>
    </row>
    <row r="10" spans="1:16">
      <c r="A10" s="7" t="s">
        <v>46</v>
      </c>
      <c r="B10" s="6" t="s">
        <v>46</v>
      </c>
      <c r="C10" s="7" t="s">
        <v>47</v>
      </c>
      <c r="D10" s="7" t="s">
        <v>48</v>
      </c>
      <c r="E10" s="3">
        <v>1</v>
      </c>
      <c r="F10" s="4">
        <v>530000</v>
      </c>
      <c r="G10" s="4">
        <f t="shared" si="0"/>
        <v>530000</v>
      </c>
      <c r="H10" s="10" t="s">
        <v>49</v>
      </c>
    </row>
    <row r="11" spans="1:16">
      <c r="A11" s="7" t="s">
        <v>50</v>
      </c>
      <c r="B11" s="6" t="s">
        <v>51</v>
      </c>
      <c r="C11" s="7" t="s">
        <v>52</v>
      </c>
      <c r="D11" s="7" t="s">
        <v>53</v>
      </c>
      <c r="E11" s="3">
        <v>1</v>
      </c>
      <c r="F11" s="4">
        <v>1700</v>
      </c>
      <c r="G11" s="4">
        <f t="shared" si="0"/>
        <v>1700</v>
      </c>
      <c r="H11" s="8" t="s">
        <v>54</v>
      </c>
    </row>
    <row r="12" spans="1:16">
      <c r="A12" s="7" t="s">
        <v>55</v>
      </c>
      <c r="B12" s="6" t="s">
        <v>55</v>
      </c>
      <c r="C12" s="7" t="s">
        <v>56</v>
      </c>
      <c r="D12" s="7" t="s">
        <v>57</v>
      </c>
      <c r="E12" s="3">
        <v>1</v>
      </c>
      <c r="F12" s="4">
        <v>4000</v>
      </c>
      <c r="G12" s="4">
        <v>4000</v>
      </c>
      <c r="H12" s="9" t="s">
        <v>58</v>
      </c>
    </row>
    <row r="13" spans="1:16">
      <c r="A13" s="7" t="s">
        <v>59</v>
      </c>
      <c r="B13" s="6" t="s">
        <v>60</v>
      </c>
      <c r="C13" s="7" t="s">
        <v>61</v>
      </c>
      <c r="D13" s="7" t="s">
        <v>62</v>
      </c>
      <c r="E13" s="3">
        <v>1</v>
      </c>
      <c r="F13" s="4">
        <v>370</v>
      </c>
      <c r="G13" s="4">
        <f t="shared" si="0"/>
        <v>370</v>
      </c>
      <c r="H13" s="8" t="s">
        <v>63</v>
      </c>
    </row>
    <row r="14" spans="1:16">
      <c r="A14" s="7" t="s">
        <v>64</v>
      </c>
      <c r="B14" s="6" t="s">
        <v>64</v>
      </c>
      <c r="C14" s="7" t="s">
        <v>65</v>
      </c>
      <c r="D14" s="7" t="s">
        <v>66</v>
      </c>
      <c r="E14" s="3">
        <v>2</v>
      </c>
      <c r="F14" s="4">
        <v>8000</v>
      </c>
      <c r="G14" s="4">
        <f t="shared" si="0"/>
        <v>16000</v>
      </c>
      <c r="H14" s="8" t="s">
        <v>67</v>
      </c>
    </row>
    <row r="15" spans="1:16">
      <c r="A15" s="2" t="s">
        <v>68</v>
      </c>
      <c r="B15" s="11"/>
      <c r="C15" s="11"/>
      <c r="D15" s="11"/>
      <c r="E15" s="3">
        <v>1</v>
      </c>
      <c r="F15" s="4">
        <v>178000</v>
      </c>
      <c r="G15" s="4">
        <v>178000</v>
      </c>
      <c r="H15" s="12" t="s">
        <v>69</v>
      </c>
      <c r="I15" s="12"/>
      <c r="J15" s="12"/>
      <c r="K15" s="12"/>
      <c r="L15" s="12"/>
      <c r="M15" s="12"/>
      <c r="N15" s="12"/>
      <c r="O15" s="12"/>
      <c r="P15" s="12"/>
    </row>
    <row r="16" spans="1:16">
      <c r="A16" s="2" t="s">
        <v>70</v>
      </c>
      <c r="B16" s="11"/>
      <c r="C16" s="11"/>
      <c r="D16" s="11"/>
      <c r="E16" s="3">
        <v>1</v>
      </c>
      <c r="F16" s="4">
        <v>50000</v>
      </c>
      <c r="G16" s="4">
        <v>50000</v>
      </c>
    </row>
    <row r="17" spans="1:16">
      <c r="A17" s="13" t="s">
        <v>71</v>
      </c>
      <c r="B17" s="13"/>
      <c r="C17" s="13"/>
      <c r="D17" s="13"/>
      <c r="E17" s="13"/>
      <c r="F17" s="13"/>
      <c r="G17" s="14">
        <f>SUM(G2:G16)</f>
        <v>791202</v>
      </c>
      <c r="H17" s="15" t="s">
        <v>72</v>
      </c>
      <c r="I17" s="16"/>
      <c r="J17" s="16"/>
      <c r="K17" s="16"/>
      <c r="L17" s="16"/>
      <c r="M17" s="16"/>
      <c r="N17" s="16"/>
      <c r="O17" s="16"/>
      <c r="P17" s="16"/>
    </row>
    <row r="22" spans="1:16">
      <c r="H22" s="17"/>
      <c r="I22" s="18"/>
      <c r="J22" s="18"/>
      <c r="K22" s="18"/>
      <c r="L22" s="18"/>
      <c r="M22" s="18"/>
      <c r="N22" s="18"/>
      <c r="O22" s="18"/>
      <c r="P22" s="18"/>
    </row>
    <row r="27" spans="1:16">
      <c r="H27" s="17"/>
      <c r="I27" s="18"/>
      <c r="J27" s="18"/>
      <c r="K27" s="18"/>
      <c r="L27" s="18"/>
      <c r="M27" s="18"/>
      <c r="N27" s="18"/>
      <c r="O27" s="18"/>
      <c r="P27" s="18"/>
    </row>
    <row r="49" spans="8:16">
      <c r="H49" s="17"/>
      <c r="I49" s="18"/>
      <c r="J49" s="18"/>
      <c r="K49" s="18"/>
      <c r="L49" s="18"/>
      <c r="M49" s="18"/>
      <c r="N49" s="18"/>
      <c r="O49" s="18"/>
      <c r="P49" s="18"/>
    </row>
    <row r="67" spans="1:16">
      <c r="H67" s="19"/>
      <c r="I67" s="19"/>
      <c r="J67" s="19"/>
      <c r="K67" s="19"/>
      <c r="L67" s="19"/>
      <c r="M67" s="19"/>
      <c r="N67" s="19"/>
      <c r="O67" s="19"/>
      <c r="P67" s="19"/>
    </row>
    <row r="68" spans="1:16">
      <c r="H68" s="12"/>
      <c r="I68" s="12"/>
      <c r="J68" s="12"/>
      <c r="K68" s="12"/>
      <c r="L68" s="12"/>
      <c r="M68" s="12"/>
      <c r="N68" s="12"/>
      <c r="O68" s="12"/>
      <c r="P68" s="12"/>
    </row>
    <row r="69" spans="1:16">
      <c r="A69" s="2" t="s">
        <v>70</v>
      </c>
      <c r="E69" s="3">
        <v>1</v>
      </c>
      <c r="F69" s="4">
        <v>50000</v>
      </c>
    </row>
    <row r="70" ht="14.25" spans="1:16">
      <c r="A70" s="20" t="s">
        <v>73</v>
      </c>
      <c r="B70" s="20"/>
      <c r="C70" s="20"/>
      <c r="D70" s="20"/>
      <c r="E70" s="21"/>
      <c r="F70" s="21"/>
      <c r="H70" s="22" t="s">
        <v>72</v>
      </c>
      <c r="I70" s="22"/>
      <c r="J70" s="22"/>
      <c r="K70" s="22"/>
      <c r="L70" s="22"/>
      <c r="M70" s="22"/>
      <c r="N70" s="22"/>
      <c r="O70" s="22"/>
      <c r="P70" s="22"/>
    </row>
    <row r="81" spans="7:7">
      <c r="G81" s="4">
        <f>F69*E69</f>
        <v>50000</v>
      </c>
    </row>
    <row r="82" spans="7:7">
      <c r="G82" s="23">
        <f>SUM(G2:G81)</f>
        <v>1632404</v>
      </c>
    </row>
  </sheetData>
  <mergeCells count="8">
    <mergeCell ref="B15:D15"/>
    <mergeCell ref="H15:P15"/>
    <mergeCell ref="B16:D16"/>
    <mergeCell ref="A17:F17"/>
    <mergeCell ref="A67:C67"/>
    <mergeCell ref="A68:D68"/>
    <mergeCell ref="A69:D69"/>
    <mergeCell ref="A70:F70"/>
  </mergeCells>
  <hyperlinks>
    <hyperlink ref="H10" r:id="rId1" display="https://www.lcsc.com/product-detail/C5322130.html?s_z=n_q_HF116F-80%252F24-1HTF&amp;spm=wm.fly.bg.0.xh&amp;lcsc_vid=RAULBVRUQFdbAgdSFVdZAl1VQlMLVgBUQwBZUlMDRlIxVlNeQVdZXlBVQ1NWVDsOAxUeFF5JWBYZEEoKFBINSQcJGk4%3D"/>
    <hyperlink ref="H3" r:id="rId2" display="https://linhkien.cxtvn.com/9913-dien-tro-1k-0805-05-18w-20c.html"/>
    <hyperlink ref="H4" r:id="rId3" display="https://www.lcsc.com/product-detail/C7420017.html?s_z=n_q_C7420017&amp;globalKeyword=C7420017"/>
    <hyperlink ref="H5" r:id="rId4" display="https://linhkien.cxtvn.com/4177-dien-tro-33k-0805-1-100c.html"/>
    <hyperlink ref="H6" r:id="rId5" display="https://linhkien.cxtvn.com/8792-dien-tro-10k-0805-01-10c.html"/>
    <hyperlink ref="H7" r:id="rId6" display="https://linhkien.cxtvn.com/1976-tu-104-100nf-0805-50v-10-50c.html" tooltip="https://linhkien.cxtvn.com/1976-tu-104-100nf-0805-50v-10-50c.html"/>
    <hyperlink ref="H9" r:id="rId7" display="https://linhkien.cxtvn.com/3878-header-duc-xh254-6p-chan-cong-10c.html" tooltip="https://linhkien.cxtvn.com/3878-header-duc-xh254-6p-chan-cong-10c.html"/>
    <hyperlink ref="H11" r:id="rId8" display="https://linhkien.cxtvn.com/5731-ltv-356t-c-optoisolator-375kv-trans-4-sop.html" tooltip="https://linhkien.cxtvn.com/5731-ltv-356t-c-optoisolator-375kv-trans-4-sop.html"/>
    <hyperlink ref="H12" r:id="rId9" display="https://linhkien.cxtvn.com/2737-mjd41c-tip41c-npn-transistor-100v-6a-to-252-2.html" tooltip="https://linhkien.cxtvn.com/2737-mjd41c-tip41c-npn-transistor-100v-6a-to-252-2.html"/>
    <hyperlink ref="H13" r:id="rId10" display="https://linhkien.cxtvn.com/9736-her107-us1m-diode-1a-1000v-smado-214ac-10c.html"/>
    <hyperlink ref="H14" r:id="rId11" display="https://dientutuyetnga.com/products/xt60pw-m-dau-jack-noi-dien-xt60-duc"/>
    <hyperlink ref="H8" r:id="rId12" display="https://linhkien.cxtvn.com/3037-tu-nhom-680uf-35v-125x135mm.html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Materials-MS_Elentec_V2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phuc lê</cp:lastModifiedBy>
  <dcterms:created xsi:type="dcterms:W3CDTF">2026-08-04T03:46:00Z</dcterms:created>
  <dcterms:modified xsi:type="dcterms:W3CDTF">2026-08-28T10:57:50Z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696BEE213CE34DD19C50E15337E8DF3F_13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