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<sst xmlns="http://schemas.openxmlformats.org/spreadsheetml/2006/main" count="394" uniqueCount="280">
  <si>
    <t>Comment</t>
  </si>
  <si>
    <t>Manufacturer Part Number</t>
  </si>
  <si>
    <t>Board</t>
  </si>
  <si>
    <t>Designator</t>
  </si>
  <si>
    <t>LibRef</t>
  </si>
  <si>
    <t>Quantity</t>
  </si>
  <si>
    <t>Price/1PCS</t>
  </si>
  <si>
    <t>Price/1Set</t>
  </si>
  <si>
    <t>Component Link/URL</t>
  </si>
  <si>
    <t>0R</t>
  </si>
  <si>
    <t>AC1206FR-070RL</t>
  </si>
  <si>
    <t>Control</t>
  </si>
  <si>
    <t>R54</t>
  </si>
  <si>
    <t>R_1206_3216Metric</t>
  </si>
  <si>
    <t>https://linhkien.cxtvn.com/3667-dien-tro-0r-1206-1-100c.html</t>
  </si>
  <si>
    <t>33pF-50V</t>
  </si>
  <si>
    <t>C0805C330J5GACTU</t>
  </si>
  <si>
    <t>C13</t>
  </si>
  <si>
    <t>C_0805_2012Metric</t>
  </si>
  <si>
    <t>https://linhkien.cxtvn.com/1976-tu-khong-phan-cuc-0805.html</t>
  </si>
  <si>
    <t>22nF-50V</t>
  </si>
  <si>
    <t>CC0603KRX7R9BB223</t>
  </si>
  <si>
    <t>C6</t>
  </si>
  <si>
    <t>C_0603_1608Metric</t>
  </si>
  <si>
    <t>https://linhkien.cxtvn.com/2513-tu-0603-khong-phan-cuc.html</t>
  </si>
  <si>
    <t>100nF-50V</t>
  </si>
  <si>
    <t>CC0805KRX7R9BB104</t>
  </si>
  <si>
    <t>Both</t>
  </si>
  <si>
    <t>Control: C12,C15,C18,C24,C30,C43 | Relay: C2</t>
  </si>
  <si>
    <t>6.8uH</t>
  </si>
  <si>
    <t>FXL0630-6R8-M</t>
  </si>
  <si>
    <t>L2</t>
  </si>
  <si>
    <t>L_Changjiang_FXL0630</t>
  </si>
  <si>
    <t>https://linhkien.cxtvn.com/9904-cuon-cam-0630-cac-gia-tri.html</t>
  </si>
  <si>
    <t>10uF-50V</t>
  </si>
  <si>
    <t>CL21A106KAYNNNE</t>
  </si>
  <si>
    <t>C21</t>
  </si>
  <si>
    <t>10uF-25V</t>
  </si>
  <si>
    <t>T491A106K010AT</t>
  </si>
  <si>
    <t>C25</t>
  </si>
  <si>
    <t>CP_EIA-3528-12_Kemet-T</t>
  </si>
  <si>
    <t>https://linhkien.cxtvn.com/4430-tu-tantalum-3528-cac-gia-tri.html</t>
  </si>
  <si>
    <t>22uF-50V</t>
  </si>
  <si>
    <t>C2012X5R1A226KT000N</t>
  </si>
  <si>
    <t>C16,C17</t>
  </si>
  <si>
    <t>100uF-50V</t>
  </si>
  <si>
    <t>EEE-FK1H101P</t>
  </si>
  <si>
    <t>C1</t>
  </si>
  <si>
    <t>CP_Elec_8x10.5</t>
  </si>
  <si>
    <t>https://linhkien.cxtvn.com/3033-tu-nhom-100uf-50v-8x105-5c.html</t>
  </si>
  <si>
    <t>1kR</t>
  </si>
  <si>
    <t>0603WAF1001T5E</t>
  </si>
  <si>
    <t>R47,R74,R77,R80</t>
  </si>
  <si>
    <t>R_0603_1608Metric</t>
  </si>
  <si>
    <t>https://linhkien.cxtvn.com/1424-dien-tro-1k-0603-1-100c.html</t>
  </si>
  <si>
    <t>3.3kR</t>
  </si>
  <si>
    <t>0603WAF3301T5E</t>
  </si>
  <si>
    <t>R75,R78,R81,R90,R92,R93,R95</t>
  </si>
  <si>
    <t>https://linhkien.cxtvn.com/2289-dien-tro-33k-0603-1-100c.html</t>
  </si>
  <si>
    <t>4.7kR</t>
  </si>
  <si>
    <t>0603WAF4701T5E</t>
  </si>
  <si>
    <t>R37</t>
  </si>
  <si>
    <t>https://linhkien.cxtvn.com/2398-dien-tro-47k-0603-1-100c.html</t>
  </si>
  <si>
    <t>5.1kR</t>
  </si>
  <si>
    <t>0603WAF5101T5E</t>
  </si>
  <si>
    <t>R21,R22</t>
  </si>
  <si>
    <t>https://linhkien.cxtvn.com/2291-dien-tro-51k-0603-1-100c.html</t>
  </si>
  <si>
    <t>10kR</t>
  </si>
  <si>
    <t>FRC0603F1002TS</t>
  </si>
  <si>
    <t>R5,R8,R9,R28,R33,R34,R42,R55,R61,R82,R91,R94</t>
  </si>
  <si>
    <t>https://linhkien.cxtvn.com/1422-dien-tro-10k-0603-1-100c.html</t>
  </si>
  <si>
    <t>0805W8F1002T5E</t>
  </si>
  <si>
    <t>R76,R79</t>
  </si>
  <si>
    <t>R_0805_2012Metric</t>
  </si>
  <si>
    <t>12kR</t>
  </si>
  <si>
    <t>0603WAF1202T5E</t>
  </si>
  <si>
    <t>R48</t>
  </si>
  <si>
    <t>https://linhkien.cxtvn.com/4536-dien-tro-12k-0603-1-100c.html</t>
  </si>
  <si>
    <t>15kR</t>
  </si>
  <si>
    <t>0603WAF1502T5E</t>
  </si>
  <si>
    <t>R62</t>
  </si>
  <si>
    <t>https://linhkien.cxtvn.com/4434-dien-tro-15k-0603-1-100c.html</t>
  </si>
  <si>
    <t>18kR</t>
  </si>
  <si>
    <t>0603WAF1802T5E</t>
  </si>
  <si>
    <t>R46</t>
  </si>
  <si>
    <t>https://linhkien.cxtvn.com/7646-dien-tro-18k-0603-1-100c.html</t>
  </si>
  <si>
    <t>47R</t>
  </si>
  <si>
    <t>AC0603FR-0747RL</t>
  </si>
  <si>
    <t>R56</t>
  </si>
  <si>
    <t>https://linhkien.cxtvn.com/3447-dien-tro-120r-0603-1-100c.html</t>
  </si>
  <si>
    <t>49.9R</t>
  </si>
  <si>
    <t>RC0603FR-0749R9L</t>
  </si>
  <si>
    <t>R10</t>
  </si>
  <si>
    <t>https://linhkien.cxtvn.com/2395-dien-tro-499r-0603-1-100c.html</t>
  </si>
  <si>
    <t>68kR</t>
  </si>
  <si>
    <t>0603WAF6802T5E</t>
  </si>
  <si>
    <t>R11</t>
  </si>
  <si>
    <t>https://linhkien.cxtvn.com/2304-dien-tro-68k-0603-1-100c.html</t>
  </si>
  <si>
    <t>120R</t>
  </si>
  <si>
    <t>AC0603FR-07120RL</t>
  </si>
  <si>
    <t>R4,R57,R58</t>
  </si>
  <si>
    <t>150kR</t>
  </si>
  <si>
    <t>0603WAF1503T5E</t>
  </si>
  <si>
    <t>R43,R44,R45</t>
  </si>
  <si>
    <t>https://linhkien.cxtvn.com/9710-dien-tro-150k-0603-1-100c.html</t>
  </si>
  <si>
    <t>CC0603KRX7R9BB104</t>
  </si>
  <si>
    <t>C4,C7,C19,C23,C29,C38,C40,C41</t>
  </si>
  <si>
    <t>https://linhkien.cxtvn.com/1981-tu-0603-khong-phan-cuc.html</t>
  </si>
  <si>
    <t>10nF-50V</t>
  </si>
  <si>
    <t>GRM188R71H103KA01D</t>
  </si>
  <si>
    <t>C31</t>
  </si>
  <si>
    <t>https://linhkien.cxtvn.com/6736-0603b104k500nt-tu-100nf-50v-10-0603-20c.html</t>
  </si>
  <si>
    <t>GRM21BR61H106KE43L</t>
  </si>
  <si>
    <t>C27,C28,C39</t>
  </si>
  <si>
    <t>https://linhkien.cxtvn.com/2886-tu-106-10uf-0603-50v-10-20c.html</t>
  </si>
  <si>
    <t>1uF-50V</t>
  </si>
  <si>
    <t>CL10A105KB8NNNC</t>
  </si>
  <si>
    <t>C20,C26,C42</t>
  </si>
  <si>
    <t>https://linhkien.cxtvn.com/1982-tu-105-1uf-0603-50v-10-20c.html</t>
  </si>
  <si>
    <t>2SD882</t>
  </si>
  <si>
    <t>2SD882T-P</t>
  </si>
  <si>
    <t>Q2,Q5,Q6</t>
  </si>
  <si>
    <t>SOT-89-3</t>
  </si>
  <si>
    <t>https://linhkien.cxtvn.com/3565-d882-2sd882-npn-transistor-15a-40v-sot-89-10c.html</t>
  </si>
  <si>
    <t>GRM1885C1H330JA01D</t>
  </si>
  <si>
    <t>C44,C45,C46</t>
  </si>
  <si>
    <t>https://linhkien.cxtvn.com/3426-tu-330-33pf-0603-50v-20c.html</t>
  </si>
  <si>
    <t>BC817</t>
  </si>
  <si>
    <t>BC817-40,215</t>
  </si>
  <si>
    <t>Q3,Q4</t>
  </si>
  <si>
    <t>SOT-23</t>
  </si>
  <si>
    <t>https://linhkien.cxtvn.com/5979-bc817-40-transistor-npn-45v-05a-sot23-10c.html</t>
  </si>
  <si>
    <t>CH340C</t>
  </si>
  <si>
    <t>U15</t>
  </si>
  <si>
    <t>SOIC-16_3.9x9.9mm_P1.27mm</t>
  </si>
  <si>
    <t>https://linhkien.cxtvn.com/4690-ch340c-ic-transceiver-2mbps-usb20-sop-16.html</t>
  </si>
  <si>
    <t>Conn_01x02</t>
  </si>
  <si>
    <t>1803277</t>
  </si>
  <si>
    <t>J9</t>
  </si>
  <si>
    <t>PhoenixContact_MC_1,5_2-G-3.81_1x02_P3.81mm_Horizontal</t>
  </si>
  <si>
    <t>https://linhkien.cxtvn.com/3486-cau-dau-15edg381-381mm-xanh-cong-mau-nhat.html</t>
  </si>
  <si>
    <t>Conn_01x03</t>
  </si>
  <si>
    <t>1803280</t>
  </si>
  <si>
    <t>J7,J8,J10</t>
  </si>
  <si>
    <t>PhoenixContact_MC_1,5_3-G-3.81_1x03_P3.81mm_Horizontal</t>
  </si>
  <si>
    <t>Conn_01x06</t>
  </si>
  <si>
    <t>S6B-XH-A(LF)(SN)</t>
  </si>
  <si>
    <t>Control: J5 | Relay: J6</t>
  </si>
  <si>
    <t>JST_XH_S6B-XH-A_1x06_P2.50mm_Horizontal</t>
  </si>
  <si>
    <t>https://linhkien.cxtvn.com/3878-header-duc-xh254-6p-chan-cong-10c.html</t>
  </si>
  <si>
    <t>Button</t>
  </si>
  <si>
    <t>B3U-1000P</t>
  </si>
  <si>
    <t>SW1</t>
  </si>
  <si>
    <t>SW_SPST_B3U-1000P</t>
  </si>
  <si>
    <t>https://linhkien.cxtvn.com/10278-b3u-1000p-nut-nhan-smd-2p-3x25x16mm.html</t>
  </si>
  <si>
    <t>ESD2CANFD24DBZR</t>
  </si>
  <si>
    <t>D12</t>
  </si>
  <si>
    <t>https://www.lcsc.com/product-detail/C20345391.html?s_z=n_q_ESD2CANFD24&amp;spm=wm.fly.bg.1.xh&amp;lcsc_vid=RlJfAwBQQlhYVVFTFlNbXlcHFgJZBQdRTgRYAlJVQ1kxVlNeQVhdUF1VTlJfVzsOAxUeFF5JWBYZEEoKFBINSQcJGk4eFQsCAgIaSgADAwAHC0slQlRcU1xQWQkaCgg%3D</t>
  </si>
  <si>
    <t>ESP32-WROOM-32E</t>
  </si>
  <si>
    <t>ESP32-WROOM-32E-N16</t>
  </si>
  <si>
    <t>U4</t>
  </si>
  <si>
    <t>ESP32-WROOM-32UE</t>
  </si>
  <si>
    <t>https://linhkien.cxtvn.com/9356-esp32-wroom-32ue-n16-rf-txrx-module-wifi-ufl-smd.html</t>
  </si>
  <si>
    <t>INA240A2PW</t>
  </si>
  <si>
    <t>INA240A2PWR</t>
  </si>
  <si>
    <t>U2</t>
  </si>
  <si>
    <t>TSSOP-8_4.4x3mm_P0.65mm</t>
  </si>
  <si>
    <t>https://www.lcsc.com/product-detail/C1346461.html?s_z=n_q_INA240A2&amp;spm=wm.fly.bg.1.xh&amp;lcsc_vid=QVdWXlNWEgRZUwZWQwdYBgJeR1BaVAAFQwVfUFNXTlAxVlNeQFheU1NSQVleUzsOAxUeFF5JWBYZEEoKFBINSQcJGk4eFQsCAgIaSgADAwAHC0slTlJXUVFIHxUDCw%3D%3D</t>
  </si>
  <si>
    <t>LED_GREEN</t>
  </si>
  <si>
    <t>XL-1608UGC-04</t>
  </si>
  <si>
    <t>D14</t>
  </si>
  <si>
    <t>LED_0603_1608Metric</t>
  </si>
  <si>
    <t>https://linhkien.cxtvn.com/4216-led-0603-cac-mau.html</t>
  </si>
  <si>
    <t>LTV-356T</t>
  </si>
  <si>
    <t>LTV-356T-C</t>
  </si>
  <si>
    <t>Control: U6,U10,U11,U12,U14 | Relay: U13</t>
  </si>
  <si>
    <t>SO-4_4.4x3.6mm_P2.54mm</t>
  </si>
  <si>
    <t>https://linhkien.cxtvn.com/5731-ltv-356t-c-optoisolator-375kv-trans-4-sop.html</t>
  </si>
  <si>
    <t>LV14340DDAR</t>
  </si>
  <si>
    <t>U8</t>
  </si>
  <si>
    <t>SOIC8_DDA_TEX</t>
  </si>
  <si>
    <t>https://banlinhkiendientu.vn/lv14340ddar-14340-ic-nguon-sop8/</t>
  </si>
  <si>
    <t>MAX3485</t>
  </si>
  <si>
    <t>MAX3485ESA</t>
  </si>
  <si>
    <t>U3</t>
  </si>
  <si>
    <t>SOIC-8_3.9x4.9mm_P1.27mm</t>
  </si>
  <si>
    <t>https://linhkien.cxtvn.com/2485-max3485esa-ic-transceiver-half-11-8soic.html</t>
  </si>
  <si>
    <t>FSMD100</t>
  </si>
  <si>
    <t>FSMD100-1206R</t>
  </si>
  <si>
    <t>F3,F2</t>
  </si>
  <si>
    <t>Fuse_1206_3216Metric</t>
  </si>
  <si>
    <t>https://linhkien.cxtvn.com/4310-cau-chi-tu-phuc-hoi-pptc-smd1206.html</t>
  </si>
  <si>
    <t>PESD5Z3.3</t>
  </si>
  <si>
    <t>PESD3V3U1UA,115</t>
  </si>
  <si>
    <t>D19,D20,D23</t>
  </si>
  <si>
    <t>D_SOD-323</t>
  </si>
  <si>
    <t>https://linhkien.cxtvn.com/7411-pesd5z33-tvs-diode-33vwm-18vc-sod523-10c.html</t>
  </si>
  <si>
    <t>RS1M</t>
  </si>
  <si>
    <t>D1,D5,D6</t>
  </si>
  <si>
    <t>D_SOD-123</t>
  </si>
  <si>
    <t>https://linhkien.cxtvn.com/9278-rs1m-fr107-f7-diode-xung-1a-1000v-sod123-10c.html</t>
  </si>
  <si>
    <t>SM712</t>
  </si>
  <si>
    <t>SM712-02HTG</t>
  </si>
  <si>
    <t>D10</t>
  </si>
  <si>
    <t>https://linhkien.cxtvn.com/6062-sm712-02htg-tvs-diode-12v-31v-sot23-3.html</t>
  </si>
  <si>
    <t>SMAJ36CA</t>
  </si>
  <si>
    <t>D4</t>
  </si>
  <si>
    <t>DO-214AC</t>
  </si>
  <si>
    <t>https://linhkien.cxtvn.com/2361-smaj36ca-tvs-diode-36v-581v-smado214ac-5c.html</t>
  </si>
  <si>
    <t>SS34</t>
  </si>
  <si>
    <t>B340A-13-F</t>
  </si>
  <si>
    <t>D3,D8</t>
  </si>
  <si>
    <t>https://linhkien.cxtvn.com/1128-diode-ss34-sma-3a-40v-do-214ac.html</t>
  </si>
  <si>
    <t>TCAN3414DR</t>
  </si>
  <si>
    <t>U1</t>
  </si>
  <si>
    <t>https://www.lcsc.com/product-image/C22396693.html?whichImg=0&amp;spm=wm.sxq.inf.0.ltp&amp;lcsc_vid=FgQKUwVTEwAMAV1fQVNYUVEHTlZYXlFWT1EKVlNXQVIxVlNRQVRbUVxWR1dcVjtW</t>
  </si>
  <si>
    <t>TLV1117-33</t>
  </si>
  <si>
    <t>TLV1117LV33DCYR</t>
  </si>
  <si>
    <t>U7</t>
  </si>
  <si>
    <t>SOT-223-3_TabPin2</t>
  </si>
  <si>
    <t>https://linhkien.cxtvn.com/10200-tlv1117lv33dcyr-ic-reg-lin-33v-1a-sot223-4.html/page-6</t>
  </si>
  <si>
    <t>UART_CONN</t>
  </si>
  <si>
    <t>S4B-XH-A-1(LF)(SN)</t>
  </si>
  <si>
    <t>J2</t>
  </si>
  <si>
    <t>JST_XH_S4B-XH-A-1_1x04_P2.50mm_Horizontal</t>
  </si>
  <si>
    <t>https://linhkien.cxtvn.com/3053-header-duc-xh254-chan-cong.html</t>
  </si>
  <si>
    <t>USB2.0_16P</t>
  </si>
  <si>
    <t>USB4105-GF-A</t>
  </si>
  <si>
    <t>J1</t>
  </si>
  <si>
    <t>USB_C_Receptacle_GCT_USB4105-xx-A_16P_TopMnt_Horizontal</t>
  </si>
  <si>
    <t>https://linhkien.cxtvn.com/6914-cong-type-c-cai-16p-usb-31-v25c.html</t>
  </si>
  <si>
    <t>USBLC6-2SC6</t>
  </si>
  <si>
    <t>U5</t>
  </si>
  <si>
    <t>SOT-23-6</t>
  </si>
  <si>
    <t>https://linhkien.cxtvn.com/6071-usblc6-2sc6-tvs-diode-525v-17v-sot23-62c.html</t>
  </si>
  <si>
    <t>XT30PW-M</t>
  </si>
  <si>
    <t>XT30PW-M30.G.Y</t>
  </si>
  <si>
    <t>J3</t>
  </si>
  <si>
    <t>AMASS_XT30PW-M</t>
  </si>
  <si>
    <t>https://www.lcsc.com/product-detail/C53373776.html?s_z=n_q_x_XT30PW-M&amp;spm=wm.ssy.em.0.tz&amp;lcsc_vid=QVdWXlNWEgRZUwZWQwdYBgJeR1BaVAAFQwVfUFNXTlAxVlNeQFheU1BfTlVdUDsOAxUeFF5JWBYZEEoKFBINSQcJGk4eFQsCAgIaSg0LFgYLSCdURVJXUVJfRE8GEwkK</t>
  </si>
  <si>
    <t>1R</t>
  </si>
  <si>
    <t>RC0603FR-071RL</t>
  </si>
  <si>
    <t>Relay</t>
  </si>
  <si>
    <t>R13,R14,R15,R16,R17,R18</t>
  </si>
  <si>
    <t>https://linhkien.cxtvn.com/5753-dien-tro-1r-0603-1-100c.html</t>
  </si>
  <si>
    <t>RC0805DR-071KL</t>
  </si>
  <si>
    <t>R83</t>
  </si>
  <si>
    <t>https://linhkien.cxtvn.com/9913-dien-tro-1k-0805-05-18w-20c.html</t>
  </si>
  <si>
    <t>2mR</t>
  </si>
  <si>
    <t>FPM253WFR002TML</t>
  </si>
  <si>
    <t>R1,R2,R3</t>
  </si>
  <si>
    <t>R_Shunt_FOJAN_2512L_4Terminal_Kelvin_C</t>
  </si>
  <si>
    <t>https://www.lcsc.com/product-detail/C7420017.html?s_z=n_q_C7420017&amp;globalKeyword=C7420017</t>
  </si>
  <si>
    <t>RC0805FR-073K3L</t>
  </si>
  <si>
    <t>R84</t>
  </si>
  <si>
    <t>https://linhkien.cxtvn.com/4177-dien-tro-33k-0805-1-100c.html</t>
  </si>
  <si>
    <t>RT0805BRD0710KL</t>
  </si>
  <si>
    <t>R85</t>
  </si>
  <si>
    <t>https://linhkien.cxtvn.com/8792-dien-tro-10k-0805-01-10c.html</t>
  </si>
  <si>
    <t>680uf-35v</t>
  </si>
  <si>
    <t>35TLV680M12.5X13.5</t>
  </si>
  <si>
    <t>C3</t>
  </si>
  <si>
    <t>CP_Elec_12.5x13.5_Generic_H13</t>
  </si>
  <si>
    <t>https://linhkien.cxtvn.com/3037-tu-nhom-680uf-35v-125x135mm.html</t>
  </si>
  <si>
    <t>HF116F-80/24-1HTF</t>
  </si>
  <si>
    <t>RELAY-TH_HF116F-80-XX-1HTF</t>
  </si>
  <si>
    <t>https://www.lcsc.com/product-detail/C5322130.html?s_z=n_q_HF116F-80%252F24-1HTF&amp;spm=wm.fly.bg.0.xh&amp;lcsc_vid=RAULBVRUQFdbAgdSFVdZAl1VQlMLVgBUQwBZUlMDRlIxVlNeQVdZXlBVQ1NWVDsOAxUeFF5JWBYZEEoKFBINSQcJGk4%3D</t>
  </si>
  <si>
    <t>MJD41CT4G</t>
  </si>
  <si>
    <t>Q7</t>
  </si>
  <si>
    <t>TO-252-2</t>
  </si>
  <si>
    <t>https://linhkien.cxtvn.com/2737-mjd41c-tip41c-npn-transistor-100v-6a-to-252-2.html</t>
  </si>
  <si>
    <t>US1M</t>
  </si>
  <si>
    <t>US1M-13-F</t>
  </si>
  <si>
    <t>D7</t>
  </si>
  <si>
    <t>https://linhkien.cxtvn.com/9736-her107-us1m-diode-1a-1000v-smado-214ac-10c.html</t>
  </si>
  <si>
    <t>XT60PW-M</t>
  </si>
  <si>
    <t>J5,J7</t>
  </si>
  <si>
    <t>AMASS_XT60PW-M</t>
  </si>
  <si>
    <t>https://dientutuyetnga.com/products/xt60pw-m-dau-jack-noi-dien-xt60-duc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</si>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</sst>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800080"/>
      <name val="Times New Roman"/>
      <charset val="0"/>
    </font>
    <font>
      <b/>
      <sz val="11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606060"/>
      </left>
      <right style="thin">
        <color rgb="FF606060"/>
      </right>
      <top style="thin">
        <color rgb="FF606060"/>
      </top>
      <bottom style="thin">
        <color rgb="FF60606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double">
        <color rgb="FF475569"/>
      </bottom>
      <diagonal/>
    </border>
    <border>
      <left/>
      <right/>
      <top style="thin">
        <color rgb="FF808080"/>
      </top>
      <bottom style="double">
        <color rgb="FF475569"/>
      </bottom>
      <diagonal/>
    </border>
    <border>
      <left/>
      <right style="thin">
        <color rgb="FF808080"/>
      </right>
      <top style="thin">
        <color rgb="FF808080"/>
      </top>
      <bottom style="double">
        <color rgb="FF47556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double">
        <color rgb="FF47556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/>
    <xf numFmtId="0" fontId="3" fillId="4" borderId="2" xfId="0" applyNumberFormat="1" applyFont="1" applyFill="1" applyBorder="1" applyAlignment="1">
      <alignment horizontal="center"/>
    </xf>
    <xf numFmtId="0" fontId="3" fillId="4" borderId="2" xfId="0" applyNumberFormat="1" applyFont="1" applyFill="1" applyBorder="1" applyAlignment="1">
      <alignment wrapText="1"/>
    </xf>
    <xf numFmtId="3" fontId="3" fillId="4" borderId="2" xfId="0" applyNumberFormat="1" applyFont="1" applyFill="1" applyBorder="1" applyAlignment="1">
      <alignment horizontal="center"/>
    </xf>
    <xf numFmtId="0" fontId="4" fillId="4" borderId="2" xfId="6" applyNumberFormat="1" applyFont="1" applyFill="1" applyBorder="1" applyAlignment="1"/>
    <xf numFmtId="0" fontId="5" fillId="2" borderId="3" xfId="0" applyNumberFormat="1" applyFont="1" applyFill="1" applyBorder="1" applyAlignment="1">
      <alignment horizontal="center"/>
    </xf>
    <xf numFmtId="0" fontId="5" fillId="2" borderId="4" xfId="0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0" fontId="2" fillId="2" borderId="6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ont>
        <name val="Times New Roman"/>
        <scheme val="none"/>
      </font>
      <fill>
        <patternFill patternType="solid">
          <bgColor theme="0"/>
        </patternFill>
      </fill>
    </dxf>
    <dxf>
      <font>
        <name val="Times New Roman"/>
        <scheme val="none"/>
      </font>
      <fill>
        <patternFill patternType="solid">
          <bgColor theme="0"/>
        </patternFill>
      </fill>
    </dxf>
    <dxf>
      <font>
        <name val="Times New Roman"/>
        <scheme val="none"/>
      </font>
      <fill>
        <patternFill patternType="solid">
          <bgColor theme="0"/>
        </patternFill>
      </fill>
    </dxf>
    <dxf>
      <font>
        <name val="Times New Roman"/>
        <scheme val="none"/>
      </font>
      <fill>
        <patternFill patternType="solid">
          <bgColor theme="0"/>
        </patternFill>
      </fill>
    </dxf>
    <dxf>
      <font>
        <name val="Times New Roman"/>
        <scheme val="none"/>
      </font>
      <fill>
        <patternFill patternType="solid">
          <bgColor theme="0"/>
        </patternFill>
      </fill>
    </dxf>
    <dxf>
      <font>
        <name val="Times New Roman"/>
        <scheme val="none"/>
      </font>
      <fill>
        <patternFill patternType="solid">
          <bgColor theme="0"/>
        </patternFill>
      </fill>
      <alignment horizontal="center"/>
    </dxf>
    <dxf>
      <font>
        <name val="Times New Roman"/>
        <scheme val="none"/>
      </font>
      <fill>
        <patternFill patternType="solid">
          <bgColor theme="0"/>
        </patternFill>
      </fill>
      <alignment horizontal="center"/>
    </dxf>
    <dxf>
      <font>
        <name val="Times New Roman"/>
        <scheme val="none"/>
      </font>
      <fill>
        <patternFill patternType="solid">
          <bgColor theme="0"/>
        </patternFill>
      </fill>
      <alignment horizontal="center"/>
    </dxf>
    <dxf>
      <font>
        <name val="Times New Roman"/>
        <scheme val="none"/>
      </font>
      <fill>
        <patternFill patternType="solid">
          <bgColor theme="0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obotRechargeBOM" displayName="RobotRechargeBOM" ref="A1:I65" totalsRowShown="0">
  <autoFilter xmlns:etc="http://www.wps.cn/officeDocument/2017/etCustomData" ref="A1:I65" etc:filterBottomFollowUsedRange="0"/>
  <tableColumns count="9">
    <tableColumn id="1" name="Comment" dataDxfId="0"/>
    <tableColumn id="2" name="Manufacturer Part Number" dataDxfId="1"/>
    <tableColumn id="3" name="Board" dataDxfId="2"/>
    <tableColumn id="4" name="Designator" dataDxfId="3"/>
    <tableColumn id="5" name="LibRef" dataDxfId="4"/>
    <tableColumn id="6" name="Quantity" dataDxfId="5"/>
    <tableColumn id="7" name="Price/1PCS" dataDxfId="6"/>
    <tableColumn id="8" name="Price/1Set" dataDxfId="7"/>
    <tableColumn id="9" name="Component Link/URL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inhkien.cxtvn.com/3878-header-duc-xh254-6p-chan-cong-10c.html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showGridLines="0" tabSelected="1" topLeftCell="A39" workbookViewId="0">
      <selection activeCell="E72" sqref="E72"/>
    </sheetView>
  </sheetViews>
  <sheetFormatPr defaultColWidth="9" defaultRowHeight="15"/>
  <cols>
    <col min="1" max="1" width="23.75" style="1" customWidth="1"/>
    <col min="2" max="2" width="31" style="1" customWidth="1"/>
    <col min="3" max="3" width="19.125" style="1" customWidth="1"/>
    <col min="4" max="4" width="41.5" style="1" customWidth="1"/>
    <col min="5" max="5" width="55.25" style="1" customWidth="1"/>
    <col min="6" max="6" width="10" style="3" customWidth="1"/>
    <col min="7" max="8" width="13" style="3" customWidth="1"/>
    <col min="9" max="9" width="90.25" style="1" customWidth="1"/>
    <col min="10" max="16384" width="9" style="1"/>
  </cols>
  <sheetData>
    <row r="1" s="1" customFormat="1" ht="30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spans="1:9">
      <c r="A2" s="5" t="s">
        <v>9</v>
      </c>
      <c r="B2" s="5" t="s">
        <v>10</v>
      </c>
      <c r="C2" s="6" t="s">
        <v>11</v>
      </c>
      <c r="D2" s="7" t="s">
        <v>12</v>
      </c>
      <c r="E2" s="5" t="s">
        <v>13</v>
      </c>
      <c r="F2" s="8">
        <v>1</v>
      </c>
      <c r="G2" s="8">
        <v>45</v>
      </c>
      <c r="H2" s="8">
        <f t="shared" ref="H2:H65" si="0">F2*G2</f>
        <v>45</v>
      </c>
      <c r="I2" s="5" t="s">
        <v>14</v>
      </c>
    </row>
    <row r="3" customHeight="1" spans="1:9">
      <c r="A3" s="5" t="s">
        <v>15</v>
      </c>
      <c r="B3" s="5" t="s">
        <v>16</v>
      </c>
      <c r="C3" s="6" t="s">
        <v>11</v>
      </c>
      <c r="D3" s="7" t="s">
        <v>17</v>
      </c>
      <c r="E3" s="5" t="s">
        <v>18</v>
      </c>
      <c r="F3" s="8">
        <v>1</v>
      </c>
      <c r="G3" s="8">
        <v>200</v>
      </c>
      <c r="H3" s="8">
        <f t="shared" si="0"/>
        <v>200</v>
      </c>
      <c r="I3" s="5" t="s">
        <v>19</v>
      </c>
    </row>
    <row r="4" customHeight="1" spans="1:9">
      <c r="A4" s="5" t="s">
        <v>20</v>
      </c>
      <c r="B4" s="5" t="s">
        <v>21</v>
      </c>
      <c r="C4" s="6" t="s">
        <v>11</v>
      </c>
      <c r="D4" s="7" t="s">
        <v>22</v>
      </c>
      <c r="E4" s="5" t="s">
        <v>23</v>
      </c>
      <c r="F4" s="8">
        <v>1</v>
      </c>
      <c r="G4" s="8">
        <v>200</v>
      </c>
      <c r="H4" s="8">
        <f t="shared" si="0"/>
        <v>200</v>
      </c>
      <c r="I4" s="5" t="s">
        <v>24</v>
      </c>
    </row>
    <row r="5" customHeight="1" spans="1:9">
      <c r="A5" s="5" t="s">
        <v>25</v>
      </c>
      <c r="B5" s="5" t="s">
        <v>26</v>
      </c>
      <c r="C5" s="6" t="s">
        <v>27</v>
      </c>
      <c r="D5" s="7" t="s">
        <v>28</v>
      </c>
      <c r="E5" s="5" t="s">
        <v>18</v>
      </c>
      <c r="F5" s="8">
        <v>7</v>
      </c>
      <c r="G5" s="8">
        <v>180</v>
      </c>
      <c r="H5" s="8">
        <f t="shared" si="0"/>
        <v>1260</v>
      </c>
      <c r="I5" s="5" t="s">
        <v>19</v>
      </c>
    </row>
    <row r="6" customHeight="1" spans="1:9">
      <c r="A6" s="5" t="s">
        <v>29</v>
      </c>
      <c r="B6" s="5" t="s">
        <v>30</v>
      </c>
      <c r="C6" s="6" t="s">
        <v>11</v>
      </c>
      <c r="D6" s="7" t="s">
        <v>31</v>
      </c>
      <c r="E6" s="5" t="s">
        <v>32</v>
      </c>
      <c r="F6" s="8">
        <v>1</v>
      </c>
      <c r="G6" s="8">
        <v>1925</v>
      </c>
      <c r="H6" s="8">
        <f t="shared" si="0"/>
        <v>1925</v>
      </c>
      <c r="I6" s="5" t="s">
        <v>33</v>
      </c>
    </row>
    <row r="7" customHeight="1" spans="1:9">
      <c r="A7" s="5" t="s">
        <v>34</v>
      </c>
      <c r="B7" s="5" t="s">
        <v>35</v>
      </c>
      <c r="C7" s="6" t="s">
        <v>11</v>
      </c>
      <c r="D7" s="7" t="s">
        <v>36</v>
      </c>
      <c r="E7" s="5" t="s">
        <v>18</v>
      </c>
      <c r="F7" s="8">
        <v>1</v>
      </c>
      <c r="G7" s="8">
        <v>180</v>
      </c>
      <c r="H7" s="8">
        <f t="shared" si="0"/>
        <v>180</v>
      </c>
      <c r="I7" s="5" t="s">
        <v>19</v>
      </c>
    </row>
    <row r="8" customHeight="1" spans="1:9">
      <c r="A8" s="5" t="s">
        <v>37</v>
      </c>
      <c r="B8" s="5" t="s">
        <v>38</v>
      </c>
      <c r="C8" s="6" t="s">
        <v>11</v>
      </c>
      <c r="D8" s="7" t="s">
        <v>39</v>
      </c>
      <c r="E8" s="5" t="s">
        <v>40</v>
      </c>
      <c r="F8" s="8">
        <v>1</v>
      </c>
      <c r="G8" s="8">
        <v>3000</v>
      </c>
      <c r="H8" s="8">
        <f t="shared" si="0"/>
        <v>3000</v>
      </c>
      <c r="I8" s="5" t="s">
        <v>41</v>
      </c>
    </row>
    <row r="9" customHeight="1" spans="1:9">
      <c r="A9" s="5" t="s">
        <v>42</v>
      </c>
      <c r="B9" s="5" t="s">
        <v>43</v>
      </c>
      <c r="C9" s="6" t="s">
        <v>11</v>
      </c>
      <c r="D9" s="7" t="s">
        <v>44</v>
      </c>
      <c r="E9" s="5" t="s">
        <v>18</v>
      </c>
      <c r="F9" s="8">
        <v>2</v>
      </c>
      <c r="G9" s="8">
        <v>475</v>
      </c>
      <c r="H9" s="8">
        <f t="shared" si="0"/>
        <v>950</v>
      </c>
      <c r="I9" s="5" t="s">
        <v>19</v>
      </c>
    </row>
    <row r="10" customHeight="1" spans="1:9">
      <c r="A10" s="5" t="s">
        <v>45</v>
      </c>
      <c r="B10" s="5" t="s">
        <v>46</v>
      </c>
      <c r="C10" s="6" t="s">
        <v>11</v>
      </c>
      <c r="D10" s="7" t="s">
        <v>47</v>
      </c>
      <c r="E10" s="5" t="s">
        <v>48</v>
      </c>
      <c r="F10" s="8">
        <v>1</v>
      </c>
      <c r="G10" s="8">
        <v>1300</v>
      </c>
      <c r="H10" s="8">
        <f t="shared" si="0"/>
        <v>1300</v>
      </c>
      <c r="I10" s="5" t="s">
        <v>49</v>
      </c>
    </row>
    <row r="11" customHeight="1" spans="1:9">
      <c r="A11" s="5" t="s">
        <v>50</v>
      </c>
      <c r="B11" s="5" t="s">
        <v>51</v>
      </c>
      <c r="C11" s="6" t="s">
        <v>11</v>
      </c>
      <c r="D11" s="7" t="s">
        <v>52</v>
      </c>
      <c r="E11" s="5" t="s">
        <v>53</v>
      </c>
      <c r="F11" s="8">
        <v>4</v>
      </c>
      <c r="G11" s="8">
        <v>36</v>
      </c>
      <c r="H11" s="8">
        <f t="shared" si="0"/>
        <v>144</v>
      </c>
      <c r="I11" s="5" t="s">
        <v>54</v>
      </c>
    </row>
    <row r="12" customHeight="1" spans="1:9">
      <c r="A12" s="5" t="s">
        <v>55</v>
      </c>
      <c r="B12" s="5" t="s">
        <v>56</v>
      </c>
      <c r="C12" s="6" t="s">
        <v>11</v>
      </c>
      <c r="D12" s="7" t="s">
        <v>57</v>
      </c>
      <c r="E12" s="5" t="s">
        <v>53</v>
      </c>
      <c r="F12" s="8">
        <v>7</v>
      </c>
      <c r="G12" s="8">
        <v>36</v>
      </c>
      <c r="H12" s="8">
        <f t="shared" si="0"/>
        <v>252</v>
      </c>
      <c r="I12" s="5" t="s">
        <v>58</v>
      </c>
    </row>
    <row r="13" customHeight="1" spans="1:9">
      <c r="A13" s="5" t="s">
        <v>59</v>
      </c>
      <c r="B13" s="5" t="s">
        <v>60</v>
      </c>
      <c r="C13" s="6" t="s">
        <v>11</v>
      </c>
      <c r="D13" s="7" t="s">
        <v>61</v>
      </c>
      <c r="E13" s="5" t="s">
        <v>53</v>
      </c>
      <c r="F13" s="8">
        <v>1</v>
      </c>
      <c r="G13" s="8">
        <v>36</v>
      </c>
      <c r="H13" s="8">
        <f t="shared" si="0"/>
        <v>36</v>
      </c>
      <c r="I13" s="5" t="s">
        <v>62</v>
      </c>
    </row>
    <row r="14" customHeight="1" spans="1:9">
      <c r="A14" s="5" t="s">
        <v>63</v>
      </c>
      <c r="B14" s="5" t="s">
        <v>64</v>
      </c>
      <c r="C14" s="6" t="s">
        <v>11</v>
      </c>
      <c r="D14" s="7" t="s">
        <v>65</v>
      </c>
      <c r="E14" s="5" t="s">
        <v>53</v>
      </c>
      <c r="F14" s="8">
        <v>2</v>
      </c>
      <c r="G14" s="8">
        <v>36</v>
      </c>
      <c r="H14" s="8">
        <f t="shared" si="0"/>
        <v>72</v>
      </c>
      <c r="I14" s="5" t="s">
        <v>66</v>
      </c>
    </row>
    <row r="15" customHeight="1" spans="1:9">
      <c r="A15" s="5" t="s">
        <v>67</v>
      </c>
      <c r="B15" s="5" t="s">
        <v>68</v>
      </c>
      <c r="C15" s="6" t="s">
        <v>11</v>
      </c>
      <c r="D15" s="7" t="s">
        <v>69</v>
      </c>
      <c r="E15" s="5" t="s">
        <v>53</v>
      </c>
      <c r="F15" s="8">
        <v>12</v>
      </c>
      <c r="G15" s="8">
        <v>36</v>
      </c>
      <c r="H15" s="8">
        <f t="shared" si="0"/>
        <v>432</v>
      </c>
      <c r="I15" s="5" t="s">
        <v>70</v>
      </c>
    </row>
    <row r="16" customHeight="1" spans="1:9">
      <c r="A16" s="5" t="s">
        <v>67</v>
      </c>
      <c r="B16" s="5" t="s">
        <v>71</v>
      </c>
      <c r="C16" s="6" t="s">
        <v>11</v>
      </c>
      <c r="D16" s="7" t="s">
        <v>72</v>
      </c>
      <c r="E16" s="5" t="s">
        <v>73</v>
      </c>
      <c r="F16" s="8">
        <v>2</v>
      </c>
      <c r="G16" s="8">
        <v>36</v>
      </c>
      <c r="H16" s="8">
        <f t="shared" si="0"/>
        <v>72</v>
      </c>
      <c r="I16" s="5" t="s">
        <v>70</v>
      </c>
    </row>
    <row r="17" customHeight="1" spans="1:9">
      <c r="A17" s="5" t="s">
        <v>74</v>
      </c>
      <c r="B17" s="5" t="s">
        <v>75</v>
      </c>
      <c r="C17" s="6" t="s">
        <v>11</v>
      </c>
      <c r="D17" s="7" t="s">
        <v>76</v>
      </c>
      <c r="E17" s="5" t="s">
        <v>53</v>
      </c>
      <c r="F17" s="8">
        <v>1</v>
      </c>
      <c r="G17" s="8">
        <v>36</v>
      </c>
      <c r="H17" s="8">
        <f t="shared" si="0"/>
        <v>36</v>
      </c>
      <c r="I17" s="5" t="s">
        <v>77</v>
      </c>
    </row>
    <row r="18" customHeight="1" spans="1:9">
      <c r="A18" s="5" t="s">
        <v>78</v>
      </c>
      <c r="B18" s="5" t="s">
        <v>79</v>
      </c>
      <c r="C18" s="6" t="s">
        <v>11</v>
      </c>
      <c r="D18" s="7" t="s">
        <v>80</v>
      </c>
      <c r="E18" s="5" t="s">
        <v>53</v>
      </c>
      <c r="F18" s="8">
        <v>1</v>
      </c>
      <c r="G18" s="8">
        <v>36</v>
      </c>
      <c r="H18" s="8">
        <f t="shared" si="0"/>
        <v>36</v>
      </c>
      <c r="I18" s="5" t="s">
        <v>81</v>
      </c>
    </row>
    <row r="19" customHeight="1" spans="1:9">
      <c r="A19" s="5" t="s">
        <v>82</v>
      </c>
      <c r="B19" s="5" t="s">
        <v>83</v>
      </c>
      <c r="C19" s="6" t="s">
        <v>11</v>
      </c>
      <c r="D19" s="7" t="s">
        <v>84</v>
      </c>
      <c r="E19" s="5" t="s">
        <v>53</v>
      </c>
      <c r="F19" s="8">
        <v>1</v>
      </c>
      <c r="G19" s="8">
        <v>36</v>
      </c>
      <c r="H19" s="8">
        <f t="shared" si="0"/>
        <v>36</v>
      </c>
      <c r="I19" s="5" t="s">
        <v>85</v>
      </c>
    </row>
    <row r="20" customHeight="1" spans="1:9">
      <c r="A20" s="5" t="s">
        <v>86</v>
      </c>
      <c r="B20" s="5" t="s">
        <v>87</v>
      </c>
      <c r="C20" s="6" t="s">
        <v>11</v>
      </c>
      <c r="D20" s="7" t="s">
        <v>88</v>
      </c>
      <c r="E20" s="5" t="s">
        <v>53</v>
      </c>
      <c r="F20" s="8">
        <v>1</v>
      </c>
      <c r="G20" s="8">
        <v>36</v>
      </c>
      <c r="H20" s="8">
        <f t="shared" si="0"/>
        <v>36</v>
      </c>
      <c r="I20" s="5" t="s">
        <v>89</v>
      </c>
    </row>
    <row r="21" customHeight="1" spans="1:9">
      <c r="A21" s="5" t="s">
        <v>90</v>
      </c>
      <c r="B21" s="5" t="s">
        <v>91</v>
      </c>
      <c r="C21" s="6" t="s">
        <v>11</v>
      </c>
      <c r="D21" s="7" t="s">
        <v>92</v>
      </c>
      <c r="E21" s="5" t="s">
        <v>53</v>
      </c>
      <c r="F21" s="8">
        <v>1</v>
      </c>
      <c r="G21" s="8">
        <v>36</v>
      </c>
      <c r="H21" s="8">
        <f t="shared" si="0"/>
        <v>36</v>
      </c>
      <c r="I21" s="5" t="s">
        <v>93</v>
      </c>
    </row>
    <row r="22" customHeight="1" spans="1:9">
      <c r="A22" s="5" t="s">
        <v>94</v>
      </c>
      <c r="B22" s="5" t="s">
        <v>95</v>
      </c>
      <c r="C22" s="6" t="s">
        <v>11</v>
      </c>
      <c r="D22" s="7" t="s">
        <v>96</v>
      </c>
      <c r="E22" s="5" t="s">
        <v>53</v>
      </c>
      <c r="F22" s="8">
        <v>1</v>
      </c>
      <c r="G22" s="8">
        <v>36</v>
      </c>
      <c r="H22" s="8">
        <f t="shared" si="0"/>
        <v>36</v>
      </c>
      <c r="I22" s="5" t="s">
        <v>97</v>
      </c>
    </row>
    <row r="23" customHeight="1" spans="1:9">
      <c r="A23" s="5" t="s">
        <v>98</v>
      </c>
      <c r="B23" s="5" t="s">
        <v>99</v>
      </c>
      <c r="C23" s="6" t="s">
        <v>11</v>
      </c>
      <c r="D23" s="7" t="s">
        <v>100</v>
      </c>
      <c r="E23" s="5" t="s">
        <v>53</v>
      </c>
      <c r="F23" s="8">
        <v>3</v>
      </c>
      <c r="G23" s="8">
        <v>36</v>
      </c>
      <c r="H23" s="8">
        <f t="shared" si="0"/>
        <v>108</v>
      </c>
      <c r="I23" s="5" t="s">
        <v>89</v>
      </c>
    </row>
    <row r="24" customHeight="1" spans="1:9">
      <c r="A24" s="5" t="s">
        <v>101</v>
      </c>
      <c r="B24" s="5" t="s">
        <v>102</v>
      </c>
      <c r="C24" s="6" t="s">
        <v>11</v>
      </c>
      <c r="D24" s="7" t="s">
        <v>103</v>
      </c>
      <c r="E24" s="5" t="s">
        <v>53</v>
      </c>
      <c r="F24" s="8">
        <v>3</v>
      </c>
      <c r="G24" s="8">
        <v>36</v>
      </c>
      <c r="H24" s="8">
        <f t="shared" si="0"/>
        <v>108</v>
      </c>
      <c r="I24" s="5" t="s">
        <v>104</v>
      </c>
    </row>
    <row r="25" customHeight="1" spans="1:9">
      <c r="A25" s="5" t="s">
        <v>25</v>
      </c>
      <c r="B25" s="5" t="s">
        <v>105</v>
      </c>
      <c r="C25" s="6" t="s">
        <v>11</v>
      </c>
      <c r="D25" s="7" t="s">
        <v>106</v>
      </c>
      <c r="E25" s="5" t="s">
        <v>23</v>
      </c>
      <c r="F25" s="8">
        <v>8</v>
      </c>
      <c r="G25" s="8">
        <v>180</v>
      </c>
      <c r="H25" s="8">
        <f t="shared" si="0"/>
        <v>1440</v>
      </c>
      <c r="I25" s="5" t="s">
        <v>107</v>
      </c>
    </row>
    <row r="26" customHeight="1" spans="1:9">
      <c r="A26" s="5" t="s">
        <v>108</v>
      </c>
      <c r="B26" s="5" t="s">
        <v>109</v>
      </c>
      <c r="C26" s="6" t="s">
        <v>11</v>
      </c>
      <c r="D26" s="7" t="s">
        <v>110</v>
      </c>
      <c r="E26" s="5" t="s">
        <v>23</v>
      </c>
      <c r="F26" s="8">
        <v>1</v>
      </c>
      <c r="G26" s="8">
        <v>200</v>
      </c>
      <c r="H26" s="8">
        <f t="shared" si="0"/>
        <v>200</v>
      </c>
      <c r="I26" s="5" t="s">
        <v>111</v>
      </c>
    </row>
    <row r="27" customHeight="1" spans="1:9">
      <c r="A27" s="5" t="s">
        <v>34</v>
      </c>
      <c r="B27" s="5" t="s">
        <v>112</v>
      </c>
      <c r="C27" s="6" t="s">
        <v>11</v>
      </c>
      <c r="D27" s="7" t="s">
        <v>113</v>
      </c>
      <c r="E27" s="5" t="s">
        <v>23</v>
      </c>
      <c r="F27" s="8">
        <v>3</v>
      </c>
      <c r="G27" s="8">
        <v>230</v>
      </c>
      <c r="H27" s="8">
        <f t="shared" si="0"/>
        <v>690</v>
      </c>
      <c r="I27" s="5" t="s">
        <v>114</v>
      </c>
    </row>
    <row r="28" customHeight="1" spans="1:9">
      <c r="A28" s="5" t="s">
        <v>115</v>
      </c>
      <c r="B28" s="5" t="s">
        <v>116</v>
      </c>
      <c r="C28" s="6" t="s">
        <v>11</v>
      </c>
      <c r="D28" s="7" t="s">
        <v>117</v>
      </c>
      <c r="E28" s="5" t="s">
        <v>23</v>
      </c>
      <c r="F28" s="8">
        <v>3</v>
      </c>
      <c r="G28" s="8">
        <v>200</v>
      </c>
      <c r="H28" s="8">
        <f t="shared" si="0"/>
        <v>600</v>
      </c>
      <c r="I28" s="5" t="s">
        <v>118</v>
      </c>
    </row>
    <row r="29" customHeight="1" spans="1:9">
      <c r="A29" s="5" t="s">
        <v>119</v>
      </c>
      <c r="B29" s="5" t="s">
        <v>120</v>
      </c>
      <c r="C29" s="6" t="s">
        <v>11</v>
      </c>
      <c r="D29" s="7" t="s">
        <v>121</v>
      </c>
      <c r="E29" s="5" t="s">
        <v>122</v>
      </c>
      <c r="F29" s="8">
        <v>3</v>
      </c>
      <c r="G29" s="8">
        <v>600</v>
      </c>
      <c r="H29" s="8">
        <f t="shared" si="0"/>
        <v>1800</v>
      </c>
      <c r="I29" s="5" t="s">
        <v>123</v>
      </c>
    </row>
    <row r="30" customHeight="1" spans="1:9">
      <c r="A30" s="5" t="s">
        <v>15</v>
      </c>
      <c r="B30" s="5" t="s">
        <v>124</v>
      </c>
      <c r="C30" s="6" t="s">
        <v>11</v>
      </c>
      <c r="D30" s="7" t="s">
        <v>125</v>
      </c>
      <c r="E30" s="5" t="s">
        <v>23</v>
      </c>
      <c r="F30" s="8">
        <v>3</v>
      </c>
      <c r="G30" s="8">
        <v>200</v>
      </c>
      <c r="H30" s="8">
        <f t="shared" si="0"/>
        <v>600</v>
      </c>
      <c r="I30" s="5" t="s">
        <v>126</v>
      </c>
    </row>
    <row r="31" customHeight="1" spans="1:9">
      <c r="A31" s="5" t="s">
        <v>127</v>
      </c>
      <c r="B31" s="5" t="s">
        <v>128</v>
      </c>
      <c r="C31" s="6" t="s">
        <v>11</v>
      </c>
      <c r="D31" s="7" t="s">
        <v>129</v>
      </c>
      <c r="E31" s="5" t="s">
        <v>130</v>
      </c>
      <c r="F31" s="8">
        <v>2</v>
      </c>
      <c r="G31" s="8">
        <v>650</v>
      </c>
      <c r="H31" s="8">
        <f t="shared" si="0"/>
        <v>1300</v>
      </c>
      <c r="I31" s="5" t="s">
        <v>131</v>
      </c>
    </row>
    <row r="32" customHeight="1" spans="1:9">
      <c r="A32" s="5" t="s">
        <v>132</v>
      </c>
      <c r="B32" s="5" t="s">
        <v>132</v>
      </c>
      <c r="C32" s="6" t="s">
        <v>11</v>
      </c>
      <c r="D32" s="7" t="s">
        <v>133</v>
      </c>
      <c r="E32" s="5" t="s">
        <v>134</v>
      </c>
      <c r="F32" s="8">
        <v>1</v>
      </c>
      <c r="G32" s="8">
        <v>11000</v>
      </c>
      <c r="H32" s="8">
        <f t="shared" si="0"/>
        <v>11000</v>
      </c>
      <c r="I32" s="5" t="s">
        <v>135</v>
      </c>
    </row>
    <row r="33" customHeight="1" spans="1:9">
      <c r="A33" s="5" t="s">
        <v>136</v>
      </c>
      <c r="B33" s="5" t="s">
        <v>137</v>
      </c>
      <c r="C33" s="6" t="s">
        <v>11</v>
      </c>
      <c r="D33" s="7" t="s">
        <v>138</v>
      </c>
      <c r="E33" s="5" t="s">
        <v>139</v>
      </c>
      <c r="F33" s="8">
        <v>1</v>
      </c>
      <c r="G33" s="8">
        <v>2000</v>
      </c>
      <c r="H33" s="8">
        <f t="shared" si="0"/>
        <v>2000</v>
      </c>
      <c r="I33" s="5" t="s">
        <v>140</v>
      </c>
    </row>
    <row r="34" customHeight="1" spans="1:9">
      <c r="A34" s="5" t="s">
        <v>141</v>
      </c>
      <c r="B34" s="5" t="s">
        <v>142</v>
      </c>
      <c r="C34" s="6" t="s">
        <v>11</v>
      </c>
      <c r="D34" s="7" t="s">
        <v>143</v>
      </c>
      <c r="E34" s="5" t="s">
        <v>144</v>
      </c>
      <c r="F34" s="8">
        <v>3</v>
      </c>
      <c r="G34" s="8">
        <v>2900</v>
      </c>
      <c r="H34" s="8">
        <f t="shared" si="0"/>
        <v>8700</v>
      </c>
      <c r="I34" s="5" t="s">
        <v>140</v>
      </c>
    </row>
    <row r="35" customHeight="1" spans="1:9">
      <c r="A35" s="5" t="s">
        <v>145</v>
      </c>
      <c r="B35" s="5" t="s">
        <v>146</v>
      </c>
      <c r="C35" s="6" t="s">
        <v>27</v>
      </c>
      <c r="D35" s="7" t="s">
        <v>147</v>
      </c>
      <c r="E35" s="5" t="s">
        <v>148</v>
      </c>
      <c r="F35" s="8">
        <v>2</v>
      </c>
      <c r="G35" s="8">
        <v>280</v>
      </c>
      <c r="H35" s="8">
        <f t="shared" si="0"/>
        <v>560</v>
      </c>
      <c r="I35" s="9" t="s">
        <v>149</v>
      </c>
    </row>
    <row r="36" customHeight="1" spans="1:9">
      <c r="A36" s="5" t="s">
        <v>150</v>
      </c>
      <c r="B36" s="5" t="s">
        <v>151</v>
      </c>
      <c r="C36" s="6" t="s">
        <v>11</v>
      </c>
      <c r="D36" s="7" t="s">
        <v>152</v>
      </c>
      <c r="E36" s="5" t="s">
        <v>153</v>
      </c>
      <c r="F36" s="8">
        <v>1</v>
      </c>
      <c r="G36" s="8">
        <v>3000</v>
      </c>
      <c r="H36" s="8">
        <f t="shared" si="0"/>
        <v>3000</v>
      </c>
      <c r="I36" s="5" t="s">
        <v>154</v>
      </c>
    </row>
    <row r="37" customHeight="1" spans="1:9">
      <c r="A37" s="5" t="s">
        <v>155</v>
      </c>
      <c r="B37" s="5" t="s">
        <v>155</v>
      </c>
      <c r="C37" s="6" t="s">
        <v>11</v>
      </c>
      <c r="D37" s="7" t="s">
        <v>156</v>
      </c>
      <c r="E37" s="5" t="s">
        <v>130</v>
      </c>
      <c r="F37" s="8">
        <v>1</v>
      </c>
      <c r="G37" s="8">
        <v>4800</v>
      </c>
      <c r="H37" s="8">
        <f t="shared" si="0"/>
        <v>4800</v>
      </c>
      <c r="I37" s="5" t="s">
        <v>157</v>
      </c>
    </row>
    <row r="38" customHeight="1" spans="1:9">
      <c r="A38" s="5" t="s">
        <v>158</v>
      </c>
      <c r="B38" s="5" t="s">
        <v>159</v>
      </c>
      <c r="C38" s="6" t="s">
        <v>11</v>
      </c>
      <c r="D38" s="7" t="s">
        <v>160</v>
      </c>
      <c r="E38" s="5" t="s">
        <v>161</v>
      </c>
      <c r="F38" s="8">
        <v>1</v>
      </c>
      <c r="G38" s="8">
        <v>95000</v>
      </c>
      <c r="H38" s="8">
        <f t="shared" si="0"/>
        <v>95000</v>
      </c>
      <c r="I38" s="5" t="s">
        <v>162</v>
      </c>
    </row>
    <row r="39" customHeight="1" spans="1:9">
      <c r="A39" s="5" t="s">
        <v>163</v>
      </c>
      <c r="B39" s="5" t="s">
        <v>164</v>
      </c>
      <c r="C39" s="6" t="s">
        <v>11</v>
      </c>
      <c r="D39" s="7" t="s">
        <v>165</v>
      </c>
      <c r="E39" s="5" t="s">
        <v>166</v>
      </c>
      <c r="F39" s="8">
        <v>1</v>
      </c>
      <c r="G39" s="8">
        <v>88900</v>
      </c>
      <c r="H39" s="8">
        <f t="shared" si="0"/>
        <v>88900</v>
      </c>
      <c r="I39" s="5" t="s">
        <v>167</v>
      </c>
    </row>
    <row r="40" customHeight="1" spans="1:9">
      <c r="A40" s="5" t="s">
        <v>168</v>
      </c>
      <c r="B40" s="5" t="s">
        <v>169</v>
      </c>
      <c r="C40" s="6" t="s">
        <v>11</v>
      </c>
      <c r="D40" s="7" t="s">
        <v>170</v>
      </c>
      <c r="E40" s="5" t="s">
        <v>171</v>
      </c>
      <c r="F40" s="8">
        <v>1</v>
      </c>
      <c r="G40" s="8">
        <v>190</v>
      </c>
      <c r="H40" s="8">
        <f t="shared" si="0"/>
        <v>190</v>
      </c>
      <c r="I40" s="5" t="s">
        <v>172</v>
      </c>
    </row>
    <row r="41" customHeight="1" spans="1:9">
      <c r="A41" s="5" t="s">
        <v>173</v>
      </c>
      <c r="B41" s="5" t="s">
        <v>174</v>
      </c>
      <c r="C41" s="6" t="s">
        <v>27</v>
      </c>
      <c r="D41" s="7" t="s">
        <v>175</v>
      </c>
      <c r="E41" s="5" t="s">
        <v>176</v>
      </c>
      <c r="F41" s="8">
        <v>6</v>
      </c>
      <c r="G41" s="8">
        <v>1700</v>
      </c>
      <c r="H41" s="8">
        <f t="shared" si="0"/>
        <v>10200</v>
      </c>
      <c r="I41" s="5" t="s">
        <v>177</v>
      </c>
    </row>
    <row r="42" customHeight="1" spans="1:9">
      <c r="A42" s="5" t="s">
        <v>178</v>
      </c>
      <c r="B42" s="5" t="s">
        <v>178</v>
      </c>
      <c r="C42" s="6" t="s">
        <v>11</v>
      </c>
      <c r="D42" s="7" t="s">
        <v>179</v>
      </c>
      <c r="E42" s="5" t="s">
        <v>180</v>
      </c>
      <c r="F42" s="8">
        <v>1</v>
      </c>
      <c r="G42" s="8">
        <v>39000</v>
      </c>
      <c r="H42" s="8">
        <f t="shared" si="0"/>
        <v>39000</v>
      </c>
      <c r="I42" s="5" t="s">
        <v>181</v>
      </c>
    </row>
    <row r="43" customHeight="1" spans="1:9">
      <c r="A43" s="5" t="s">
        <v>182</v>
      </c>
      <c r="B43" s="5" t="s">
        <v>183</v>
      </c>
      <c r="C43" s="6" t="s">
        <v>11</v>
      </c>
      <c r="D43" s="7" t="s">
        <v>184</v>
      </c>
      <c r="E43" s="5" t="s">
        <v>185</v>
      </c>
      <c r="F43" s="8">
        <v>1</v>
      </c>
      <c r="G43" s="8">
        <v>7000</v>
      </c>
      <c r="H43" s="8">
        <f t="shared" si="0"/>
        <v>7000</v>
      </c>
      <c r="I43" s="5" t="s">
        <v>186</v>
      </c>
    </row>
    <row r="44" customHeight="1" spans="1:9">
      <c r="A44" s="5" t="s">
        <v>187</v>
      </c>
      <c r="B44" s="5" t="s">
        <v>188</v>
      </c>
      <c r="C44" s="6" t="s">
        <v>11</v>
      </c>
      <c r="D44" s="7" t="s">
        <v>189</v>
      </c>
      <c r="E44" s="5" t="s">
        <v>190</v>
      </c>
      <c r="F44" s="8">
        <v>2</v>
      </c>
      <c r="G44" s="8">
        <v>900</v>
      </c>
      <c r="H44" s="8">
        <f t="shared" si="0"/>
        <v>1800</v>
      </c>
      <c r="I44" s="5" t="s">
        <v>191</v>
      </c>
    </row>
    <row r="45" customHeight="1" spans="1:9">
      <c r="A45" s="5" t="s">
        <v>192</v>
      </c>
      <c r="B45" s="5" t="s">
        <v>193</v>
      </c>
      <c r="C45" s="6" t="s">
        <v>11</v>
      </c>
      <c r="D45" s="7" t="s">
        <v>194</v>
      </c>
      <c r="E45" s="5" t="s">
        <v>195</v>
      </c>
      <c r="F45" s="8">
        <v>3</v>
      </c>
      <c r="G45" s="8">
        <v>200</v>
      </c>
      <c r="H45" s="8">
        <f t="shared" si="0"/>
        <v>600</v>
      </c>
      <c r="I45" s="5" t="s">
        <v>196</v>
      </c>
    </row>
    <row r="46" customHeight="1" spans="1:9">
      <c r="A46" s="5" t="s">
        <v>197</v>
      </c>
      <c r="B46" s="5" t="s">
        <v>197</v>
      </c>
      <c r="C46" s="6" t="s">
        <v>11</v>
      </c>
      <c r="D46" s="7" t="s">
        <v>198</v>
      </c>
      <c r="E46" s="5" t="s">
        <v>199</v>
      </c>
      <c r="F46" s="8">
        <v>3</v>
      </c>
      <c r="G46" s="8">
        <v>500</v>
      </c>
      <c r="H46" s="8">
        <f t="shared" si="0"/>
        <v>1500</v>
      </c>
      <c r="I46" s="5" t="s">
        <v>200</v>
      </c>
    </row>
    <row r="47" customHeight="1" spans="1:9">
      <c r="A47" s="5" t="s">
        <v>201</v>
      </c>
      <c r="B47" s="5" t="s">
        <v>202</v>
      </c>
      <c r="C47" s="6" t="s">
        <v>11</v>
      </c>
      <c r="D47" s="7" t="s">
        <v>203</v>
      </c>
      <c r="E47" s="5" t="s">
        <v>130</v>
      </c>
      <c r="F47" s="8">
        <v>1</v>
      </c>
      <c r="G47" s="8">
        <v>13000</v>
      </c>
      <c r="H47" s="8">
        <f t="shared" si="0"/>
        <v>13000</v>
      </c>
      <c r="I47" s="5" t="s">
        <v>204</v>
      </c>
    </row>
    <row r="48" customHeight="1" spans="1:9">
      <c r="A48" s="5" t="s">
        <v>205</v>
      </c>
      <c r="B48" s="5" t="s">
        <v>205</v>
      </c>
      <c r="C48" s="6" t="s">
        <v>11</v>
      </c>
      <c r="D48" s="7" t="s">
        <v>206</v>
      </c>
      <c r="E48" s="5" t="s">
        <v>207</v>
      </c>
      <c r="F48" s="8">
        <v>1</v>
      </c>
      <c r="G48" s="8">
        <v>1000</v>
      </c>
      <c r="H48" s="8">
        <f t="shared" si="0"/>
        <v>1000</v>
      </c>
      <c r="I48" s="5" t="s">
        <v>208</v>
      </c>
    </row>
    <row r="49" customHeight="1" spans="1:9">
      <c r="A49" s="5" t="s">
        <v>209</v>
      </c>
      <c r="B49" s="5" t="s">
        <v>210</v>
      </c>
      <c r="C49" s="6" t="s">
        <v>11</v>
      </c>
      <c r="D49" s="7" t="s">
        <v>211</v>
      </c>
      <c r="E49" s="5" t="s">
        <v>207</v>
      </c>
      <c r="F49" s="8">
        <v>2</v>
      </c>
      <c r="G49" s="8">
        <v>800</v>
      </c>
      <c r="H49" s="8">
        <f t="shared" si="0"/>
        <v>1600</v>
      </c>
      <c r="I49" s="5" t="s">
        <v>212</v>
      </c>
    </row>
    <row r="50" customHeight="1" spans="1:9">
      <c r="A50" s="5" t="s">
        <v>213</v>
      </c>
      <c r="B50" s="5" t="s">
        <v>213</v>
      </c>
      <c r="C50" s="6" t="s">
        <v>11</v>
      </c>
      <c r="D50" s="7" t="s">
        <v>214</v>
      </c>
      <c r="E50" s="5" t="s">
        <v>185</v>
      </c>
      <c r="F50" s="8">
        <v>1</v>
      </c>
      <c r="G50" s="8">
        <v>47700</v>
      </c>
      <c r="H50" s="8">
        <f t="shared" si="0"/>
        <v>47700</v>
      </c>
      <c r="I50" s="5" t="s">
        <v>215</v>
      </c>
    </row>
    <row r="51" customHeight="1" spans="1:9">
      <c r="A51" s="5" t="s">
        <v>216</v>
      </c>
      <c r="B51" s="5" t="s">
        <v>217</v>
      </c>
      <c r="C51" s="6" t="s">
        <v>11</v>
      </c>
      <c r="D51" s="7" t="s">
        <v>218</v>
      </c>
      <c r="E51" s="5" t="s">
        <v>219</v>
      </c>
      <c r="F51" s="8">
        <v>1</v>
      </c>
      <c r="G51" s="8">
        <v>7000</v>
      </c>
      <c r="H51" s="8">
        <f t="shared" si="0"/>
        <v>7000</v>
      </c>
      <c r="I51" s="5" t="s">
        <v>220</v>
      </c>
    </row>
    <row r="52" customHeight="1" spans="1:9">
      <c r="A52" s="5" t="s">
        <v>221</v>
      </c>
      <c r="B52" s="5" t="s">
        <v>222</v>
      </c>
      <c r="C52" s="6" t="s">
        <v>11</v>
      </c>
      <c r="D52" s="7" t="s">
        <v>223</v>
      </c>
      <c r="E52" s="5" t="s">
        <v>224</v>
      </c>
      <c r="F52" s="8">
        <v>1</v>
      </c>
      <c r="G52" s="8">
        <v>190</v>
      </c>
      <c r="H52" s="8">
        <f t="shared" si="0"/>
        <v>190</v>
      </c>
      <c r="I52" s="5" t="s">
        <v>225</v>
      </c>
    </row>
    <row r="53" customHeight="1" spans="1:9">
      <c r="A53" s="5" t="s">
        <v>226</v>
      </c>
      <c r="B53" s="5" t="s">
        <v>227</v>
      </c>
      <c r="C53" s="6" t="s">
        <v>11</v>
      </c>
      <c r="D53" s="7" t="s">
        <v>228</v>
      </c>
      <c r="E53" s="5" t="s">
        <v>229</v>
      </c>
      <c r="F53" s="8">
        <v>1</v>
      </c>
      <c r="G53" s="8">
        <v>1600</v>
      </c>
      <c r="H53" s="8">
        <f t="shared" si="0"/>
        <v>1600</v>
      </c>
      <c r="I53" s="5" t="s">
        <v>230</v>
      </c>
    </row>
    <row r="54" customHeight="1" spans="1:9">
      <c r="A54" s="5" t="s">
        <v>231</v>
      </c>
      <c r="B54" s="5" t="s">
        <v>231</v>
      </c>
      <c r="C54" s="6" t="s">
        <v>11</v>
      </c>
      <c r="D54" s="7" t="s">
        <v>232</v>
      </c>
      <c r="E54" s="5" t="s">
        <v>233</v>
      </c>
      <c r="F54" s="8">
        <v>1</v>
      </c>
      <c r="G54" s="8">
        <v>2800</v>
      </c>
      <c r="H54" s="8">
        <f t="shared" si="0"/>
        <v>2800</v>
      </c>
      <c r="I54" s="5" t="s">
        <v>234</v>
      </c>
    </row>
    <row r="55" customHeight="1" spans="1:9">
      <c r="A55" s="5" t="s">
        <v>235</v>
      </c>
      <c r="B55" s="5" t="s">
        <v>236</v>
      </c>
      <c r="C55" s="6" t="s">
        <v>11</v>
      </c>
      <c r="D55" s="7" t="s">
        <v>237</v>
      </c>
      <c r="E55" s="5" t="s">
        <v>238</v>
      </c>
      <c r="F55" s="8">
        <v>1</v>
      </c>
      <c r="G55" s="8">
        <v>7000</v>
      </c>
      <c r="H55" s="8">
        <f t="shared" si="0"/>
        <v>7000</v>
      </c>
      <c r="I55" s="5" t="s">
        <v>239</v>
      </c>
    </row>
    <row r="56" customHeight="1" spans="1:9">
      <c r="A56" s="5" t="s">
        <v>240</v>
      </c>
      <c r="B56" s="5" t="s">
        <v>241</v>
      </c>
      <c r="C56" s="6" t="s">
        <v>242</v>
      </c>
      <c r="D56" s="7" t="s">
        <v>243</v>
      </c>
      <c r="E56" s="5" t="s">
        <v>53</v>
      </c>
      <c r="F56" s="8">
        <v>6</v>
      </c>
      <c r="G56" s="8">
        <v>36</v>
      </c>
      <c r="H56" s="8">
        <f t="shared" si="0"/>
        <v>216</v>
      </c>
      <c r="I56" s="5" t="s">
        <v>244</v>
      </c>
    </row>
    <row r="57" customHeight="1" spans="1:9">
      <c r="A57" s="5" t="s">
        <v>50</v>
      </c>
      <c r="B57" s="5" t="s">
        <v>245</v>
      </c>
      <c r="C57" s="6" t="s">
        <v>242</v>
      </c>
      <c r="D57" s="7" t="s">
        <v>246</v>
      </c>
      <c r="E57" s="5" t="s">
        <v>73</v>
      </c>
      <c r="F57" s="8">
        <v>1</v>
      </c>
      <c r="G57" s="8">
        <v>280</v>
      </c>
      <c r="H57" s="8">
        <f t="shared" si="0"/>
        <v>280</v>
      </c>
      <c r="I57" s="5" t="s">
        <v>247</v>
      </c>
    </row>
    <row r="58" customHeight="1" spans="1:9">
      <c r="A58" s="5" t="s">
        <v>248</v>
      </c>
      <c r="B58" s="5" t="s">
        <v>249</v>
      </c>
      <c r="C58" s="6" t="s">
        <v>242</v>
      </c>
      <c r="D58" s="7" t="s">
        <v>250</v>
      </c>
      <c r="E58" s="5" t="s">
        <v>251</v>
      </c>
      <c r="F58" s="8">
        <v>3</v>
      </c>
      <c r="G58" s="8">
        <v>1600</v>
      </c>
      <c r="H58" s="8">
        <f t="shared" si="0"/>
        <v>4800</v>
      </c>
      <c r="I58" s="5" t="s">
        <v>252</v>
      </c>
    </row>
    <row r="59" customHeight="1" spans="1:9">
      <c r="A59" s="5" t="s">
        <v>55</v>
      </c>
      <c r="B59" s="5" t="s">
        <v>253</v>
      </c>
      <c r="C59" s="6" t="s">
        <v>242</v>
      </c>
      <c r="D59" s="7" t="s">
        <v>254</v>
      </c>
      <c r="E59" s="5" t="s">
        <v>73</v>
      </c>
      <c r="F59" s="8">
        <v>1</v>
      </c>
      <c r="G59" s="8">
        <v>46</v>
      </c>
      <c r="H59" s="8">
        <f t="shared" si="0"/>
        <v>46</v>
      </c>
      <c r="I59" s="5" t="s">
        <v>255</v>
      </c>
    </row>
    <row r="60" customHeight="1" spans="1:9">
      <c r="A60" s="5" t="s">
        <v>67</v>
      </c>
      <c r="B60" s="5" t="s">
        <v>256</v>
      </c>
      <c r="C60" s="6" t="s">
        <v>242</v>
      </c>
      <c r="D60" s="7" t="s">
        <v>257</v>
      </c>
      <c r="E60" s="5" t="s">
        <v>73</v>
      </c>
      <c r="F60" s="8">
        <v>1</v>
      </c>
      <c r="G60" s="8">
        <v>450</v>
      </c>
      <c r="H60" s="8">
        <f t="shared" si="0"/>
        <v>450</v>
      </c>
      <c r="I60" s="5" t="s">
        <v>258</v>
      </c>
    </row>
    <row r="61" customHeight="1" spans="1:9">
      <c r="A61" s="5" t="s">
        <v>259</v>
      </c>
      <c r="B61" s="5" t="s">
        <v>260</v>
      </c>
      <c r="C61" s="6" t="s">
        <v>242</v>
      </c>
      <c r="D61" s="7" t="s">
        <v>261</v>
      </c>
      <c r="E61" s="5" t="s">
        <v>262</v>
      </c>
      <c r="F61" s="8">
        <v>1</v>
      </c>
      <c r="G61" s="8">
        <v>4600</v>
      </c>
      <c r="H61" s="8">
        <f t="shared" si="0"/>
        <v>4600</v>
      </c>
      <c r="I61" s="5" t="s">
        <v>263</v>
      </c>
    </row>
    <row r="62" customHeight="1" spans="1:9">
      <c r="A62" s="5" t="s">
        <v>264</v>
      </c>
      <c r="B62" s="5" t="s">
        <v>264</v>
      </c>
      <c r="C62" s="6" t="s">
        <v>242</v>
      </c>
      <c r="D62" s="7" t="s">
        <v>179</v>
      </c>
      <c r="E62" s="5" t="s">
        <v>265</v>
      </c>
      <c r="F62" s="8">
        <v>1</v>
      </c>
      <c r="G62" s="8">
        <v>530000</v>
      </c>
      <c r="H62" s="8">
        <f t="shared" si="0"/>
        <v>530000</v>
      </c>
      <c r="I62" s="5" t="s">
        <v>266</v>
      </c>
    </row>
    <row r="63" customHeight="1" spans="1:9">
      <c r="A63" s="5" t="s">
        <v>267</v>
      </c>
      <c r="B63" s="5" t="s">
        <v>267</v>
      </c>
      <c r="C63" s="6" t="s">
        <v>242</v>
      </c>
      <c r="D63" s="7" t="s">
        <v>268</v>
      </c>
      <c r="E63" s="5" t="s">
        <v>269</v>
      </c>
      <c r="F63" s="8">
        <v>1</v>
      </c>
      <c r="G63" s="8">
        <v>4000</v>
      </c>
      <c r="H63" s="8">
        <f t="shared" si="0"/>
        <v>4000</v>
      </c>
      <c r="I63" s="5" t="s">
        <v>270</v>
      </c>
    </row>
    <row r="64" customHeight="1" spans="1:9">
      <c r="A64" s="5" t="s">
        <v>271</v>
      </c>
      <c r="B64" s="5" t="s">
        <v>272</v>
      </c>
      <c r="C64" s="6" t="s">
        <v>242</v>
      </c>
      <c r="D64" s="7" t="s">
        <v>273</v>
      </c>
      <c r="E64" s="5" t="s">
        <v>207</v>
      </c>
      <c r="F64" s="8">
        <v>1</v>
      </c>
      <c r="G64" s="8">
        <v>370</v>
      </c>
      <c r="H64" s="8">
        <f t="shared" si="0"/>
        <v>370</v>
      </c>
      <c r="I64" s="5" t="s">
        <v>274</v>
      </c>
    </row>
    <row r="65" customHeight="1" spans="1:9">
      <c r="A65" s="5" t="s">
        <v>275</v>
      </c>
      <c r="B65" s="5" t="s">
        <v>275</v>
      </c>
      <c r="C65" s="6" t="s">
        <v>242</v>
      </c>
      <c r="D65" s="7" t="s">
        <v>276</v>
      </c>
      <c r="E65" s="5" t="s">
        <v>277</v>
      </c>
      <c r="F65" s="8">
        <v>2</v>
      </c>
      <c r="G65" s="8">
        <v>8000</v>
      </c>
      <c r="H65" s="8">
        <f t="shared" si="0"/>
        <v>16000</v>
      </c>
      <c r="I65" s="5" t="s">
        <v>278</v>
      </c>
    </row>
    <row r="66" s="2" customFormat="1" customHeight="1" spans="1:9">
      <c r="A66" s="10" t="s">
        <v>279</v>
      </c>
      <c r="B66" s="11"/>
      <c r="C66" s="11"/>
      <c r="D66" s="11"/>
      <c r="E66" s="11"/>
      <c r="F66" s="11"/>
      <c r="G66" s="12"/>
      <c r="H66" s="13">
        <f>SUM(H2:H65)</f>
        <v>934032</v>
      </c>
      <c r="I66" s="14"/>
    </row>
  </sheetData>
  <mergeCells count="1">
    <mergeCell ref="A66:G66"/>
  </mergeCells>
  <conditionalFormatting sqref="C2:C65">
    <cfRule type="containsText" dxfId="9" priority="1" operator="between" text="Both">
      <formula>NOT(ISERROR(SEARCH("Both",C2)))</formula>
    </cfRule>
  </conditionalFormatting>
  <dataValidations count="1">
    <dataValidation type="list" sqref="C2:C65">
      <formula1>"Control,Relay,Both"</formula1>
    </dataValidation>
  </dataValidations>
  <hyperlinks>
    <hyperlink ref="I35" r:id="rId2" display="https://linhkien.cxtvn.com/3878-header-duc-xh254-6p-chan-cong-10c.html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phuc lê</cp:lastModifiedBy>
  <dcterms:created xsi:type="dcterms:W3CDTF">2026-08-28T15:26:00Z</dcterms:created>
  <dcterms:modified xsi:type="dcterms:W3CDTF">2026-08-29T01:23:56Z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AC5F33D6A53B4C40BB2C8C4075B56B0C_12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